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harts/chartEx4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Ex6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7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8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xcel_Acciojob\"/>
    </mc:Choice>
  </mc:AlternateContent>
  <xr:revisionPtr revIDLastSave="0" documentId="13_ncr:1_{477A1DF5-F459-455B-B98E-8B3BD2827CA0}" xr6:coauthVersionLast="47" xr6:coauthVersionMax="47" xr10:uidLastSave="{00000000-0000-0000-0000-000000000000}"/>
  <bookViews>
    <workbookView xWindow="-120" yWindow="-120" windowWidth="20730" windowHeight="11160" firstSheet="7" activeTab="13" xr2:uid="{D431C621-0A29-43DA-9D15-AAF36258FD61}"/>
  </bookViews>
  <sheets>
    <sheet name="Histogram" sheetId="1" r:id="rId1"/>
    <sheet name="Area Chart" sheetId="9" r:id="rId2"/>
    <sheet name="Pie Chart" sheetId="10" r:id="rId3"/>
    <sheet name="Doughnut Chart" sheetId="11" r:id="rId4"/>
    <sheet name="Scatter" sheetId="13" r:id="rId5"/>
    <sheet name="Bubble" sheetId="14" r:id="rId6"/>
    <sheet name="Box Plot" sheetId="15" r:id="rId7"/>
    <sheet name="Treemap" sheetId="16" r:id="rId8"/>
    <sheet name="Waterfall Chart" sheetId="17" r:id="rId9"/>
    <sheet name="Funnel" sheetId="18" r:id="rId10"/>
    <sheet name="Sunburst " sheetId="19" r:id="rId11"/>
    <sheet name="Radar" sheetId="20" r:id="rId12"/>
    <sheet name="Stock" sheetId="21" r:id="rId13"/>
    <sheet name="Heatmap" sheetId="22" r:id="rId14"/>
  </sheets>
  <definedNames>
    <definedName name="_xlchart.v1.0" hidden="1">Histogram!$A$4:$A$24</definedName>
    <definedName name="_xlchart.v1.1" hidden="1">Histogram!$B$3</definedName>
    <definedName name="_xlchart.v1.10" hidden="1">Treemap!$A$2:$B$16</definedName>
    <definedName name="_xlchart.v1.11" hidden="1">Treemap!$C$1</definedName>
    <definedName name="_xlchart.v1.12" hidden="1">Treemap!$C$2:$C$16</definedName>
    <definedName name="_xlchart.v1.13" hidden="1">Treemap!$A$2:$B$16</definedName>
    <definedName name="_xlchart.v1.14" hidden="1">Treemap!$C$1</definedName>
    <definedName name="_xlchart.v1.15" hidden="1">Treemap!$C$2:$C$16</definedName>
    <definedName name="_xlchart.v1.16" hidden="1">'Waterfall Chart'!$A$4:$B$20</definedName>
    <definedName name="_xlchart.v1.17" hidden="1">'Waterfall Chart'!$C$2:$C$3</definedName>
    <definedName name="_xlchart.v1.18" hidden="1">'Waterfall Chart'!$C$4:$C$20</definedName>
    <definedName name="_xlchart.v1.19" hidden="1">'Waterfall Chart'!$A$4:$B$20</definedName>
    <definedName name="_xlchart.v1.2" hidden="1">Histogram!$B$4:$B$24</definedName>
    <definedName name="_xlchart.v1.20" hidden="1">'Waterfall Chart'!$C$2:$C$3</definedName>
    <definedName name="_xlchart.v1.21" hidden="1">'Waterfall Chart'!$C$4:$C$20</definedName>
    <definedName name="_xlchart.v1.22" hidden="1">'Waterfall Chart'!$A$4:$B$20</definedName>
    <definedName name="_xlchart.v1.23" hidden="1">'Waterfall Chart'!$C$2:$C$3</definedName>
    <definedName name="_xlchart.v1.24" hidden="1">'Waterfall Chart'!$C$4:$C$20</definedName>
    <definedName name="_xlchart.v1.28" hidden="1">'Sunburst '!$B$25:$D$38</definedName>
    <definedName name="_xlchart.v1.29" hidden="1">'Sunburst '!$E$24</definedName>
    <definedName name="_xlchart.v1.3" hidden="1">Histogram!$A$2:$A$24</definedName>
    <definedName name="_xlchart.v1.30" hidden="1">'Sunburst '!$E$25:$E$38</definedName>
    <definedName name="_xlchart.v1.31" hidden="1">'Sunburst '!$B$25:$D$38</definedName>
    <definedName name="_xlchart.v1.32" hidden="1">'Sunburst '!$E$24</definedName>
    <definedName name="_xlchart.v1.33" hidden="1">'Sunburst '!$E$25:$E$38</definedName>
    <definedName name="_xlchart.v1.34" hidden="1">'Sunburst '!$B$3:$D$20</definedName>
    <definedName name="_xlchart.v1.35" hidden="1">'Sunburst '!$E$2</definedName>
    <definedName name="_xlchart.v1.36" hidden="1">'Sunburst '!$E$3:$E$20</definedName>
    <definedName name="_xlchart.v1.37" hidden="1">'Sunburst '!$B$3:$D$20</definedName>
    <definedName name="_xlchart.v1.38" hidden="1">'Sunburst '!$E$2</definedName>
    <definedName name="_xlchart.v1.39" hidden="1">'Sunburst '!$E$3:$E$20</definedName>
    <definedName name="_xlchart.v1.4" hidden="1">Histogram!$B$2:$B$24</definedName>
    <definedName name="_xlchart.v1.5" hidden="1">Histogram!$C$2:$C$24</definedName>
    <definedName name="_xlchart.v1.6" hidden="1">'Box Plot'!$C$3:$C$12</definedName>
    <definedName name="_xlchart.v1.7" hidden="1">Treemap!$A$2:$B$16</definedName>
    <definedName name="_xlchart.v1.8" hidden="1">Treemap!$C$1</definedName>
    <definedName name="_xlchart.v1.9" hidden="1">Treemap!$C$2:$C$16</definedName>
    <definedName name="_xlchart.v2.25" hidden="1">Funnel!$B$3:$B$7</definedName>
    <definedName name="_xlchart.v2.26" hidden="1">Funnel!$C$2</definedName>
    <definedName name="_xlchart.v2.27" hidden="1">Funnel!$C$3:$C$7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5" l="1"/>
  <c r="C18" i="15"/>
  <c r="C21" i="15"/>
  <c r="C16" i="15"/>
  <c r="C17" i="15"/>
  <c r="C14" i="13"/>
  <c r="C5" i="1"/>
  <c r="C4" i="1"/>
  <c r="C3" i="1"/>
  <c r="C19" i="15"/>
  <c r="B14" i="13"/>
  <c r="C20" i="17"/>
  <c r="D13" i="14"/>
  <c r="D12" i="14"/>
  <c r="D11" i="14"/>
  <c r="D10" i="14"/>
  <c r="D9" i="14"/>
  <c r="D8" i="14"/>
  <c r="D7" i="14"/>
  <c r="D6" i="14"/>
  <c r="D5" i="14"/>
  <c r="D4" i="14"/>
  <c r="F9" i="11"/>
  <c r="E9" i="11"/>
  <c r="D9" i="11"/>
  <c r="C9" i="11"/>
  <c r="C9" i="10"/>
  <c r="D9" i="10"/>
  <c r="E9" i="10"/>
  <c r="B9" i="10"/>
  <c r="F5" i="10"/>
  <c r="F6" i="10"/>
  <c r="F7" i="10"/>
  <c r="F8" i="10"/>
  <c r="F4" i="10"/>
  <c r="F9" i="10" s="1"/>
</calcChain>
</file>

<file path=xl/sharedStrings.xml><?xml version="1.0" encoding="utf-8"?>
<sst xmlns="http://schemas.openxmlformats.org/spreadsheetml/2006/main" count="391" uniqueCount="155">
  <si>
    <t>Sales - 2022</t>
  </si>
  <si>
    <t>Publisher</t>
  </si>
  <si>
    <t>YTD Sales</t>
  </si>
  <si>
    <t>Wii Sports</t>
  </si>
  <si>
    <t>Super Mario Bros.</t>
  </si>
  <si>
    <t>Mario Kart Wii</t>
  </si>
  <si>
    <t>Wii Sports Resort</t>
  </si>
  <si>
    <t>Pokemon Red</t>
  </si>
  <si>
    <t>Tetris</t>
  </si>
  <si>
    <t>Pokemon Blue</t>
  </si>
  <si>
    <t>Wii Play</t>
  </si>
  <si>
    <t>Rebellion</t>
  </si>
  <si>
    <t>Duck Hunt</t>
  </si>
  <si>
    <t>Nintendogs</t>
  </si>
  <si>
    <t>Mario Kart DS</t>
  </si>
  <si>
    <t>Pokemon Gold</t>
  </si>
  <si>
    <t>Wii Fit</t>
  </si>
  <si>
    <t>Wii Fit Plus</t>
  </si>
  <si>
    <t>Kinect Adventures!</t>
  </si>
  <si>
    <t>Grand Theft Auto V</t>
  </si>
  <si>
    <t>Grand Theft Auto</t>
  </si>
  <si>
    <t>Super Mario World</t>
  </si>
  <si>
    <t>Brain Age</t>
  </si>
  <si>
    <t>Pokemon Silver</t>
  </si>
  <si>
    <t>Qtr1</t>
  </si>
  <si>
    <t>Qtr2</t>
  </si>
  <si>
    <t>Qtr3</t>
  </si>
  <si>
    <t>Qtr4</t>
  </si>
  <si>
    <t>YTD</t>
  </si>
  <si>
    <t>Total</t>
  </si>
  <si>
    <t xml:space="preserve">Types </t>
  </si>
  <si>
    <t>March Sales - 2023</t>
  </si>
  <si>
    <t>Advertisements Cost</t>
  </si>
  <si>
    <t>Sales</t>
  </si>
  <si>
    <t>Basic Cost Vs Sales Vs Profitability - March</t>
  </si>
  <si>
    <t>Basic Cost</t>
  </si>
  <si>
    <t>Profitability</t>
  </si>
  <si>
    <t>Min Value</t>
  </si>
  <si>
    <t>Lower Quartile (Q1)</t>
  </si>
  <si>
    <t>Median</t>
  </si>
  <si>
    <t>Upper Quartile (Q3)</t>
  </si>
  <si>
    <t>Max Value</t>
  </si>
  <si>
    <t>Average</t>
  </si>
  <si>
    <t>Genre</t>
  </si>
  <si>
    <t>March Sales</t>
  </si>
  <si>
    <t>10TACLE Studios</t>
  </si>
  <si>
    <t>Adventure</t>
  </si>
  <si>
    <t>Puzzle</t>
  </si>
  <si>
    <t>Strategy</t>
  </si>
  <si>
    <t>1C Company</t>
  </si>
  <si>
    <t>20th Century Fox</t>
  </si>
  <si>
    <t>Acclaim Entertainment</t>
  </si>
  <si>
    <t>Activision</t>
  </si>
  <si>
    <t>Nintendo March Sales</t>
  </si>
  <si>
    <t>Date</t>
  </si>
  <si>
    <t>Description</t>
  </si>
  <si>
    <t>Amount</t>
  </si>
  <si>
    <t>Opening Balance</t>
  </si>
  <si>
    <t>Advertisement</t>
  </si>
  <si>
    <t>Closing Balance</t>
  </si>
  <si>
    <t>Sales Funnel</t>
  </si>
  <si>
    <t>Students</t>
  </si>
  <si>
    <t>Advertisement - Target</t>
  </si>
  <si>
    <t>Inquiry</t>
  </si>
  <si>
    <t>Eligible</t>
  </si>
  <si>
    <t>Proposal</t>
  </si>
  <si>
    <t>Close</t>
  </si>
  <si>
    <t>Name</t>
  </si>
  <si>
    <t>Capcom</t>
  </si>
  <si>
    <t>Bombastic</t>
  </si>
  <si>
    <t>Shooter</t>
  </si>
  <si>
    <t>Call of Duty</t>
  </si>
  <si>
    <t>Action</t>
  </si>
  <si>
    <t>Dead Rising</t>
  </si>
  <si>
    <t>Destiny</t>
  </si>
  <si>
    <t>Diablo III</t>
  </si>
  <si>
    <t>Nintendo</t>
  </si>
  <si>
    <t>Jet Force</t>
  </si>
  <si>
    <t>Kung Fu</t>
  </si>
  <si>
    <t>Kung Fu Panda</t>
  </si>
  <si>
    <t>Perfect Dark</t>
  </si>
  <si>
    <t>Picross</t>
  </si>
  <si>
    <t>Pinball</t>
  </si>
  <si>
    <t>Qix</t>
  </si>
  <si>
    <t>Resident Evil</t>
  </si>
  <si>
    <t>Spider-Man</t>
  </si>
  <si>
    <t>Star Fox</t>
  </si>
  <si>
    <t>Tropix</t>
  </si>
  <si>
    <t>Yoshi</t>
  </si>
  <si>
    <t>Clothes E-Commerce Site</t>
  </si>
  <si>
    <t>Sub Cat</t>
  </si>
  <si>
    <t>Gender</t>
  </si>
  <si>
    <t>Apparel</t>
  </si>
  <si>
    <t>Party</t>
  </si>
  <si>
    <t>Men</t>
  </si>
  <si>
    <t>Women</t>
  </si>
  <si>
    <t>Kids</t>
  </si>
  <si>
    <t>Office</t>
  </si>
  <si>
    <t>Laptop</t>
  </si>
  <si>
    <t>Shoes</t>
  </si>
  <si>
    <t>Furniture</t>
  </si>
  <si>
    <t>Living</t>
  </si>
  <si>
    <t>Bedroom</t>
  </si>
  <si>
    <t>Sales - YTD</t>
  </si>
  <si>
    <t>For - Multivarient Chart</t>
  </si>
  <si>
    <t>Vodafone Idea Ltd</t>
  </si>
  <si>
    <t>Open</t>
  </si>
  <si>
    <t>High</t>
  </si>
  <si>
    <t>Low</t>
  </si>
  <si>
    <t>Volume</t>
  </si>
  <si>
    <t>Average of Max Temperature for 11 years</t>
  </si>
  <si>
    <t>Year</t>
  </si>
  <si>
    <t>Bengaluru</t>
  </si>
  <si>
    <t>Delhi</t>
  </si>
  <si>
    <t>Hyderabad</t>
  </si>
  <si>
    <t>Jaipur</t>
  </si>
  <si>
    <t>Mumbai</t>
  </si>
  <si>
    <t>Type</t>
  </si>
  <si>
    <t>Shape/Visual</t>
  </si>
  <si>
    <t>Example</t>
  </si>
  <si>
    <t>Use Case</t>
  </si>
  <si>
    <t>Normal Distribution</t>
  </si>
  <si>
    <t>Bell-shaped</t>
  </si>
  <si>
    <t>Most values cluster around the center.</t>
  </si>
  <si>
    <t>Height of students</t>
  </si>
  <si>
    <t>Quality control, grading systems</t>
  </si>
  <si>
    <t>Right (Positively) Skewed</t>
  </si>
  <si>
    <t>Tail to the right</t>
  </si>
  <si>
    <t>Most values are low, few high outliers</t>
  </si>
  <si>
    <t>Income levels</t>
  </si>
  <si>
    <t>Wealth analysis, real estate</t>
  </si>
  <si>
    <t>Left (Negatively) Skewed</t>
  </si>
  <si>
    <t>Tail to the left</t>
  </si>
  <si>
    <t>Most values are high, few low outliers</t>
  </si>
  <si>
    <t>Retirement age</t>
  </si>
  <si>
    <t>Healthcare analytics</t>
  </si>
  <si>
    <t>Bimodal</t>
  </si>
  <si>
    <t>Two peaks</t>
  </si>
  <si>
    <t>Two distinct groups</t>
  </si>
  <si>
    <t>Exam results in different regions</t>
  </si>
  <si>
    <t>Customer segmentation</t>
  </si>
  <si>
    <t>Uniform</t>
  </si>
  <si>
    <t>All bars same height</t>
  </si>
  <si>
    <t>Equal frequency of all intervals</t>
  </si>
  <si>
    <t>Dice roll</t>
  </si>
  <si>
    <t>Simulations, quality testing</t>
  </si>
  <si>
    <t>eternal</t>
  </si>
  <si>
    <t>zomato</t>
  </si>
  <si>
    <t xml:space="preserve">district </t>
  </si>
  <si>
    <t>reaturant erp</t>
  </si>
  <si>
    <t>cloud solns</t>
  </si>
  <si>
    <t xml:space="preserve">marketing soln </t>
  </si>
  <si>
    <t>others</t>
  </si>
  <si>
    <t>hyperpure</t>
  </si>
  <si>
    <t>blinkit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</si>
</sst>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₹&quot;\ * #,##0_ ;_ &quot;₹&quot;\ * \-#,##0_ ;_ &quot;₹&quot;\ * &quot;-&quot;_ ;_ @_ "/>
    <numFmt numFmtId="164" formatCode="&quot;₹&quot;#,##0_);[Red]\(&quot;₹&quot;#,##0\)"/>
    <numFmt numFmtId="165" formatCode=";;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A6A6A6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medium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9" fontId="0" fillId="0" borderId="0" xfId="1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0" fillId="0" borderId="1" xfId="0" applyBorder="1"/>
    <xf numFmtId="42" fontId="0" fillId="0" borderId="1" xfId="0" applyNumberFormat="1" applyBorder="1"/>
    <xf numFmtId="42" fontId="0" fillId="0" borderId="0" xfId="0" applyNumberFormat="1"/>
    <xf numFmtId="0" fontId="6" fillId="0" borderId="0" xfId="0" applyFont="1"/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5" borderId="0" xfId="0" applyFont="1" applyFill="1"/>
    <xf numFmtId="0" fontId="9" fillId="6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42" fontId="7" fillId="7" borderId="6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42" fontId="7" fillId="0" borderId="6" xfId="0" applyNumberFormat="1" applyFont="1" applyBorder="1" applyAlignment="1">
      <alignment horizontal="center"/>
    </xf>
    <xf numFmtId="0" fontId="10" fillId="0" borderId="0" xfId="0" applyFont="1"/>
    <xf numFmtId="0" fontId="10" fillId="9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9" borderId="11" xfId="0" applyFont="1" applyFill="1" applyBorder="1" applyAlignment="1">
      <alignment horizontal="center"/>
    </xf>
    <xf numFmtId="0" fontId="12" fillId="0" borderId="0" xfId="0" applyFont="1"/>
    <xf numFmtId="0" fontId="13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15" fontId="10" fillId="9" borderId="7" xfId="0" applyNumberFormat="1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15" fontId="10" fillId="9" borderId="12" xfId="0" applyNumberFormat="1" applyFont="1" applyFill="1" applyBorder="1" applyAlignment="1">
      <alignment horizontal="center"/>
    </xf>
    <xf numFmtId="0" fontId="10" fillId="9" borderId="13" xfId="0" applyFont="1" applyFill="1" applyBorder="1" applyAlignment="1">
      <alignment horizontal="center"/>
    </xf>
    <xf numFmtId="0" fontId="10" fillId="9" borderId="1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9" borderId="0" xfId="0" applyFont="1" applyFill="1" applyAlignment="1">
      <alignment horizontal="center"/>
    </xf>
    <xf numFmtId="15" fontId="10" fillId="9" borderId="9" xfId="0" applyNumberFormat="1" applyFont="1" applyFill="1" applyBorder="1" applyAlignment="1">
      <alignment horizontal="center"/>
    </xf>
    <xf numFmtId="165" fontId="10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Chart'!$B$2</c:f>
              <c:strCache>
                <c:ptCount val="1"/>
                <c:pt idx="0">
                  <c:v>Sales - 2022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'Area Chart'!$A$3:$A$24</c:f>
              <c:strCache>
                <c:ptCount val="22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Tetris</c:v>
                </c:pt>
                <c:pt idx="7">
                  <c:v>Pokemon Blue</c:v>
                </c:pt>
                <c:pt idx="8">
                  <c:v>Wii Play</c:v>
                </c:pt>
                <c:pt idx="9">
                  <c:v>Rebellion</c:v>
                </c:pt>
                <c:pt idx="10">
                  <c:v>Duck Hunt</c:v>
                </c:pt>
                <c:pt idx="11">
                  <c:v>Nintendogs</c:v>
                </c:pt>
                <c:pt idx="12">
                  <c:v>Mario Kart DS</c:v>
                </c:pt>
                <c:pt idx="13">
                  <c:v>Pokemon Gold</c:v>
                </c:pt>
                <c:pt idx="14">
                  <c:v>Wii Fit</c:v>
                </c:pt>
                <c:pt idx="15">
                  <c:v>Wii Fit Plus</c:v>
                </c:pt>
                <c:pt idx="16">
                  <c:v>Kinect Adventures!</c:v>
                </c:pt>
                <c:pt idx="17">
                  <c:v>Grand Theft Auto V</c:v>
                </c:pt>
                <c:pt idx="18">
                  <c:v>Grand Theft Auto</c:v>
                </c:pt>
                <c:pt idx="19">
                  <c:v>Super Mario World</c:v>
                </c:pt>
                <c:pt idx="20">
                  <c:v>Brain Age</c:v>
                </c:pt>
                <c:pt idx="21">
                  <c:v>Pokemon Silver</c:v>
                </c:pt>
              </c:strCache>
            </c:strRef>
          </c:cat>
          <c:val>
            <c:numRef>
              <c:f>'Area Chart'!$B$3:$B$24</c:f>
              <c:numCache>
                <c:formatCode>General</c:formatCode>
                <c:ptCount val="22"/>
                <c:pt idx="0">
                  <c:v>0</c:v>
                </c:pt>
                <c:pt idx="1">
                  <c:v>40305</c:v>
                </c:pt>
                <c:pt idx="2">
                  <c:v>69573</c:v>
                </c:pt>
                <c:pt idx="3">
                  <c:v>20971</c:v>
                </c:pt>
                <c:pt idx="4">
                  <c:v>68498</c:v>
                </c:pt>
                <c:pt idx="5">
                  <c:v>26401</c:v>
                </c:pt>
                <c:pt idx="6">
                  <c:v>22525</c:v>
                </c:pt>
                <c:pt idx="7">
                  <c:v>73199</c:v>
                </c:pt>
                <c:pt idx="8">
                  <c:v>69934</c:v>
                </c:pt>
                <c:pt idx="9">
                  <c:v>58976</c:v>
                </c:pt>
                <c:pt idx="10">
                  <c:v>75806</c:v>
                </c:pt>
                <c:pt idx="11">
                  <c:v>33018</c:v>
                </c:pt>
                <c:pt idx="12">
                  <c:v>23304</c:v>
                </c:pt>
                <c:pt idx="13">
                  <c:v>53835</c:v>
                </c:pt>
                <c:pt idx="14">
                  <c:v>68313</c:v>
                </c:pt>
                <c:pt idx="15">
                  <c:v>41357</c:v>
                </c:pt>
                <c:pt idx="16">
                  <c:v>26443</c:v>
                </c:pt>
                <c:pt idx="17">
                  <c:v>65325</c:v>
                </c:pt>
                <c:pt idx="18">
                  <c:v>51091</c:v>
                </c:pt>
                <c:pt idx="19">
                  <c:v>48143</c:v>
                </c:pt>
                <c:pt idx="20">
                  <c:v>76213</c:v>
                </c:pt>
                <c:pt idx="21">
                  <c:v>79587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2-4F5F-82E8-D253E24CECFC}"/>
            </c:ext>
          </c:extLst>
        </c:ser>
        <c:ser>
          <c:idx val="1"/>
          <c:order val="1"/>
          <c:tx>
            <c:strRef>
              <c:f>'Area Chart'!$C$2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strRef>
              <c:f>'Area Chart'!$A$3:$A$24</c:f>
              <c:strCache>
                <c:ptCount val="22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Tetris</c:v>
                </c:pt>
                <c:pt idx="7">
                  <c:v>Pokemon Blue</c:v>
                </c:pt>
                <c:pt idx="8">
                  <c:v>Wii Play</c:v>
                </c:pt>
                <c:pt idx="9">
                  <c:v>Rebellion</c:v>
                </c:pt>
                <c:pt idx="10">
                  <c:v>Duck Hunt</c:v>
                </c:pt>
                <c:pt idx="11">
                  <c:v>Nintendogs</c:v>
                </c:pt>
                <c:pt idx="12">
                  <c:v>Mario Kart DS</c:v>
                </c:pt>
                <c:pt idx="13">
                  <c:v>Pokemon Gold</c:v>
                </c:pt>
                <c:pt idx="14">
                  <c:v>Wii Fit</c:v>
                </c:pt>
                <c:pt idx="15">
                  <c:v>Wii Fit Plus</c:v>
                </c:pt>
                <c:pt idx="16">
                  <c:v>Kinect Adventures!</c:v>
                </c:pt>
                <c:pt idx="17">
                  <c:v>Grand Theft Auto V</c:v>
                </c:pt>
                <c:pt idx="18">
                  <c:v>Grand Theft Auto</c:v>
                </c:pt>
                <c:pt idx="19">
                  <c:v>Super Mario World</c:v>
                </c:pt>
                <c:pt idx="20">
                  <c:v>Brain Age</c:v>
                </c:pt>
                <c:pt idx="21">
                  <c:v>Pokemon Silver</c:v>
                </c:pt>
              </c:strCache>
            </c:strRef>
          </c:cat>
          <c:val>
            <c:numRef>
              <c:f>'Area Chart'!$C$3:$C$24</c:f>
              <c:numCache>
                <c:formatCode>General</c:formatCode>
                <c:ptCount val="22"/>
                <c:pt idx="0">
                  <c:v>0</c:v>
                </c:pt>
                <c:pt idx="1">
                  <c:v>67484</c:v>
                </c:pt>
                <c:pt idx="2">
                  <c:v>69407</c:v>
                </c:pt>
                <c:pt idx="3">
                  <c:v>68330</c:v>
                </c:pt>
                <c:pt idx="4">
                  <c:v>30649</c:v>
                </c:pt>
                <c:pt idx="5">
                  <c:v>23800</c:v>
                </c:pt>
                <c:pt idx="6">
                  <c:v>65931</c:v>
                </c:pt>
                <c:pt idx="7">
                  <c:v>47162</c:v>
                </c:pt>
                <c:pt idx="8">
                  <c:v>54164</c:v>
                </c:pt>
                <c:pt idx="9">
                  <c:v>74362</c:v>
                </c:pt>
                <c:pt idx="10">
                  <c:v>47467</c:v>
                </c:pt>
                <c:pt idx="11">
                  <c:v>24114</c:v>
                </c:pt>
                <c:pt idx="12">
                  <c:v>43183</c:v>
                </c:pt>
                <c:pt idx="13">
                  <c:v>47589</c:v>
                </c:pt>
                <c:pt idx="14">
                  <c:v>36211</c:v>
                </c:pt>
                <c:pt idx="15">
                  <c:v>29970</c:v>
                </c:pt>
                <c:pt idx="16">
                  <c:v>20805</c:v>
                </c:pt>
                <c:pt idx="17">
                  <c:v>59137</c:v>
                </c:pt>
                <c:pt idx="18">
                  <c:v>74125</c:v>
                </c:pt>
                <c:pt idx="19">
                  <c:v>35767</c:v>
                </c:pt>
                <c:pt idx="20">
                  <c:v>79791</c:v>
                </c:pt>
                <c:pt idx="21">
                  <c:v>32114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2-4F5F-82E8-D253E24CECFC}"/>
            </c:ext>
          </c:extLst>
        </c:ser>
        <c:ser>
          <c:idx val="2"/>
          <c:order val="2"/>
          <c:tx>
            <c:strRef>
              <c:f>'Area Chart'!$D$2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strRef>
              <c:f>'Area Chart'!$A$3:$A$24</c:f>
              <c:strCache>
                <c:ptCount val="22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Tetris</c:v>
                </c:pt>
                <c:pt idx="7">
                  <c:v>Pokemon Blue</c:v>
                </c:pt>
                <c:pt idx="8">
                  <c:v>Wii Play</c:v>
                </c:pt>
                <c:pt idx="9">
                  <c:v>Rebellion</c:v>
                </c:pt>
                <c:pt idx="10">
                  <c:v>Duck Hunt</c:v>
                </c:pt>
                <c:pt idx="11">
                  <c:v>Nintendogs</c:v>
                </c:pt>
                <c:pt idx="12">
                  <c:v>Mario Kart DS</c:v>
                </c:pt>
                <c:pt idx="13">
                  <c:v>Pokemon Gold</c:v>
                </c:pt>
                <c:pt idx="14">
                  <c:v>Wii Fit</c:v>
                </c:pt>
                <c:pt idx="15">
                  <c:v>Wii Fit Plus</c:v>
                </c:pt>
                <c:pt idx="16">
                  <c:v>Kinect Adventures!</c:v>
                </c:pt>
                <c:pt idx="17">
                  <c:v>Grand Theft Auto V</c:v>
                </c:pt>
                <c:pt idx="18">
                  <c:v>Grand Theft Auto</c:v>
                </c:pt>
                <c:pt idx="19">
                  <c:v>Super Mario World</c:v>
                </c:pt>
                <c:pt idx="20">
                  <c:v>Brain Age</c:v>
                </c:pt>
                <c:pt idx="21">
                  <c:v>Pokemon Silver</c:v>
                </c:pt>
              </c:strCache>
            </c:strRef>
          </c:cat>
          <c:val>
            <c:numRef>
              <c:f>'Area Chart'!$D$3:$D$24</c:f>
              <c:numCache>
                <c:formatCode>General</c:formatCode>
                <c:ptCount val="22"/>
                <c:pt idx="0">
                  <c:v>0</c:v>
                </c:pt>
                <c:pt idx="1">
                  <c:v>50056</c:v>
                </c:pt>
                <c:pt idx="2">
                  <c:v>57397</c:v>
                </c:pt>
                <c:pt idx="3">
                  <c:v>27650</c:v>
                </c:pt>
                <c:pt idx="4">
                  <c:v>78338</c:v>
                </c:pt>
                <c:pt idx="5">
                  <c:v>55047</c:v>
                </c:pt>
                <c:pt idx="6">
                  <c:v>60753</c:v>
                </c:pt>
                <c:pt idx="7">
                  <c:v>41992</c:v>
                </c:pt>
                <c:pt idx="8">
                  <c:v>55924</c:v>
                </c:pt>
                <c:pt idx="9">
                  <c:v>63382</c:v>
                </c:pt>
                <c:pt idx="10">
                  <c:v>20330</c:v>
                </c:pt>
                <c:pt idx="11">
                  <c:v>42351</c:v>
                </c:pt>
                <c:pt idx="12">
                  <c:v>25160</c:v>
                </c:pt>
                <c:pt idx="13">
                  <c:v>45532</c:v>
                </c:pt>
                <c:pt idx="14">
                  <c:v>49578</c:v>
                </c:pt>
                <c:pt idx="15">
                  <c:v>23409</c:v>
                </c:pt>
                <c:pt idx="16">
                  <c:v>42157</c:v>
                </c:pt>
                <c:pt idx="17">
                  <c:v>72521</c:v>
                </c:pt>
                <c:pt idx="18">
                  <c:v>59968</c:v>
                </c:pt>
                <c:pt idx="19">
                  <c:v>59798</c:v>
                </c:pt>
                <c:pt idx="20">
                  <c:v>38017</c:v>
                </c:pt>
                <c:pt idx="21">
                  <c:v>53385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22-4F5F-82E8-D253E24CECFC}"/>
            </c:ext>
          </c:extLst>
        </c:ser>
        <c:ser>
          <c:idx val="3"/>
          <c:order val="3"/>
          <c:tx>
            <c:strRef>
              <c:f>'Area Chart'!$E$2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strRef>
              <c:f>'Area Chart'!$A$3:$A$24</c:f>
              <c:strCache>
                <c:ptCount val="22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Tetris</c:v>
                </c:pt>
                <c:pt idx="7">
                  <c:v>Pokemon Blue</c:v>
                </c:pt>
                <c:pt idx="8">
                  <c:v>Wii Play</c:v>
                </c:pt>
                <c:pt idx="9">
                  <c:v>Rebellion</c:v>
                </c:pt>
                <c:pt idx="10">
                  <c:v>Duck Hunt</c:v>
                </c:pt>
                <c:pt idx="11">
                  <c:v>Nintendogs</c:v>
                </c:pt>
                <c:pt idx="12">
                  <c:v>Mario Kart DS</c:v>
                </c:pt>
                <c:pt idx="13">
                  <c:v>Pokemon Gold</c:v>
                </c:pt>
                <c:pt idx="14">
                  <c:v>Wii Fit</c:v>
                </c:pt>
                <c:pt idx="15">
                  <c:v>Wii Fit Plus</c:v>
                </c:pt>
                <c:pt idx="16">
                  <c:v>Kinect Adventures!</c:v>
                </c:pt>
                <c:pt idx="17">
                  <c:v>Grand Theft Auto V</c:v>
                </c:pt>
                <c:pt idx="18">
                  <c:v>Grand Theft Auto</c:v>
                </c:pt>
                <c:pt idx="19">
                  <c:v>Super Mario World</c:v>
                </c:pt>
                <c:pt idx="20">
                  <c:v>Brain Age</c:v>
                </c:pt>
                <c:pt idx="21">
                  <c:v>Pokemon Silver</c:v>
                </c:pt>
              </c:strCache>
            </c:strRef>
          </c:cat>
          <c:val>
            <c:numRef>
              <c:f>'Area Chart'!$E$3:$E$24</c:f>
              <c:numCache>
                <c:formatCode>General</c:formatCode>
                <c:ptCount val="22"/>
                <c:pt idx="0">
                  <c:v>0</c:v>
                </c:pt>
                <c:pt idx="1">
                  <c:v>75671</c:v>
                </c:pt>
                <c:pt idx="2">
                  <c:v>28812</c:v>
                </c:pt>
                <c:pt idx="3">
                  <c:v>31130</c:v>
                </c:pt>
                <c:pt idx="4">
                  <c:v>69697</c:v>
                </c:pt>
                <c:pt idx="5">
                  <c:v>74656</c:v>
                </c:pt>
                <c:pt idx="6">
                  <c:v>56138</c:v>
                </c:pt>
                <c:pt idx="7">
                  <c:v>48959</c:v>
                </c:pt>
                <c:pt idx="8">
                  <c:v>77582</c:v>
                </c:pt>
                <c:pt idx="9">
                  <c:v>47230</c:v>
                </c:pt>
                <c:pt idx="10">
                  <c:v>65647</c:v>
                </c:pt>
                <c:pt idx="11">
                  <c:v>29518</c:v>
                </c:pt>
                <c:pt idx="12">
                  <c:v>59011</c:v>
                </c:pt>
                <c:pt idx="13">
                  <c:v>61745</c:v>
                </c:pt>
                <c:pt idx="14">
                  <c:v>37756</c:v>
                </c:pt>
                <c:pt idx="15">
                  <c:v>56023</c:v>
                </c:pt>
                <c:pt idx="16">
                  <c:v>40685</c:v>
                </c:pt>
                <c:pt idx="17">
                  <c:v>26005</c:v>
                </c:pt>
                <c:pt idx="18">
                  <c:v>55047</c:v>
                </c:pt>
                <c:pt idx="19">
                  <c:v>33052</c:v>
                </c:pt>
                <c:pt idx="20">
                  <c:v>58559</c:v>
                </c:pt>
                <c:pt idx="21">
                  <c:v>24065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22-4F5F-82E8-D253E24CE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62176"/>
        <c:axId val="2136762656"/>
      </c:areaChart>
      <c:catAx>
        <c:axId val="213676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62656"/>
        <c:crosses val="autoZero"/>
        <c:auto val="1"/>
        <c:lblAlgn val="ctr"/>
        <c:lblOffset val="100"/>
        <c:noMultiLvlLbl val="0"/>
      </c:catAx>
      <c:valAx>
        <c:axId val="21367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6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'Pie Chart'!$A$20</c:f>
              <c:strCache>
                <c:ptCount val="1"/>
                <c:pt idx="0">
                  <c:v>eternal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34-44BE-B907-CE7DA7DF63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34-44BE-B907-CE7DA7DF63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34-44BE-B907-CE7DA7DF63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34-44BE-B907-CE7DA7DF63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34-44BE-B907-CE7DA7DF63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F34-44BE-B907-CE7DA7DF63C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F34-44BE-B907-CE7DA7DF63C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F34-44BE-B907-CE7DA7DF63C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F34-44BE-B907-CE7DA7DF63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Chart'!$B$19:$I$19</c:f>
              <c:strCache>
                <c:ptCount val="8"/>
                <c:pt idx="0">
                  <c:v>zomato</c:v>
                </c:pt>
                <c:pt idx="1">
                  <c:v>blinkit</c:v>
                </c:pt>
                <c:pt idx="2">
                  <c:v>district </c:v>
                </c:pt>
                <c:pt idx="3">
                  <c:v>hyperpure</c:v>
                </c:pt>
                <c:pt idx="4">
                  <c:v>reaturant erp</c:v>
                </c:pt>
                <c:pt idx="5">
                  <c:v>cloud solns</c:v>
                </c:pt>
                <c:pt idx="6">
                  <c:v>marketing soln </c:v>
                </c:pt>
                <c:pt idx="7">
                  <c:v>others</c:v>
                </c:pt>
              </c:strCache>
            </c:strRef>
          </c:cat>
          <c:val>
            <c:numRef>
              <c:f>'Pie Chart'!$B$20:$I$20</c:f>
              <c:numCache>
                <c:formatCode>General</c:formatCode>
                <c:ptCount val="8"/>
                <c:pt idx="0">
                  <c:v>9500</c:v>
                </c:pt>
                <c:pt idx="1">
                  <c:v>5000</c:v>
                </c:pt>
                <c:pt idx="2">
                  <c:v>3500</c:v>
                </c:pt>
                <c:pt idx="3">
                  <c:v>1700</c:v>
                </c:pt>
                <c:pt idx="4">
                  <c:v>300</c:v>
                </c:pt>
                <c:pt idx="5">
                  <c:v>120</c:v>
                </c:pt>
                <c:pt idx="6">
                  <c:v>80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5-7344-9599-0CF5C8F9CB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4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Chart'!$B$2</c:f>
              <c:strCache>
                <c:ptCount val="1"/>
                <c:pt idx="0">
                  <c:v>Sales - 2022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EAF-48F5-8F80-D24E9B367747}"/>
              </c:ext>
            </c:extLst>
          </c:dPt>
          <c:dPt>
            <c:idx val="1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EAF-48F5-8F80-D24E9B367747}"/>
              </c:ext>
            </c:extLst>
          </c:dPt>
          <c:dPt>
            <c:idx val="2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EAF-48F5-8F80-D24E9B36774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EAF-48F5-8F80-D24E9B367747}"/>
              </c:ext>
            </c:extLst>
          </c:dPt>
          <c:dPt>
            <c:idx val="4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EAF-48F5-8F80-D24E9B367747}"/>
              </c:ext>
            </c:extLst>
          </c:dPt>
          <c:dPt>
            <c:idx val="5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3EAF-48F5-8F80-D24E9B367747}"/>
              </c:ext>
            </c:extLst>
          </c:dPt>
          <c:dPt>
            <c:idx val="6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EAF-48F5-8F80-D24E9B367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Chart'!$A$3:$A$9</c:f>
              <c:strCache>
                <c:ptCount val="7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Total</c:v>
                </c:pt>
              </c:strCache>
            </c:strRef>
          </c:cat>
          <c:val>
            <c:numRef>
              <c:f>'Pie Chart'!$B$3:$B$9</c:f>
              <c:numCache>
                <c:formatCode>General</c:formatCode>
                <c:ptCount val="7"/>
                <c:pt idx="0">
                  <c:v>0</c:v>
                </c:pt>
                <c:pt idx="1">
                  <c:v>40305</c:v>
                </c:pt>
                <c:pt idx="2">
                  <c:v>69573</c:v>
                </c:pt>
                <c:pt idx="3">
                  <c:v>20971</c:v>
                </c:pt>
                <c:pt idx="4">
                  <c:v>68498</c:v>
                </c:pt>
                <c:pt idx="5">
                  <c:v>26401</c:v>
                </c:pt>
                <c:pt idx="6">
                  <c:v>225748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F-48F5-8F80-D24E9B367747}"/>
            </c:ext>
          </c:extLst>
        </c:ser>
        <c:ser>
          <c:idx val="1"/>
          <c:order val="1"/>
          <c:tx>
            <c:strRef>
              <c:f>'Pie Chart'!$C$2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3EAF-48F5-8F80-D24E9B367747}"/>
              </c:ext>
            </c:extLst>
          </c:dPt>
          <c:dPt>
            <c:idx val="1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EAF-48F5-8F80-D24E9B367747}"/>
              </c:ext>
            </c:extLst>
          </c:dPt>
          <c:dPt>
            <c:idx val="2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3EAF-48F5-8F80-D24E9B36774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EAF-48F5-8F80-D24E9B367747}"/>
              </c:ext>
            </c:extLst>
          </c:dPt>
          <c:dPt>
            <c:idx val="4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3EAF-48F5-8F80-D24E9B367747}"/>
              </c:ext>
            </c:extLst>
          </c:dPt>
          <c:dPt>
            <c:idx val="5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EAF-48F5-8F80-D24E9B367747}"/>
              </c:ext>
            </c:extLst>
          </c:dPt>
          <c:dPt>
            <c:idx val="6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3EAF-48F5-8F80-D24E9B367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Chart'!$A$3:$A$9</c:f>
              <c:strCache>
                <c:ptCount val="7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Total</c:v>
                </c:pt>
              </c:strCache>
            </c:strRef>
          </c:cat>
          <c:val>
            <c:numRef>
              <c:f>'Pie Chart'!$C$3:$C$9</c:f>
              <c:numCache>
                <c:formatCode>General</c:formatCode>
                <c:ptCount val="7"/>
                <c:pt idx="0">
                  <c:v>0</c:v>
                </c:pt>
                <c:pt idx="1">
                  <c:v>67484</c:v>
                </c:pt>
                <c:pt idx="2">
                  <c:v>69407</c:v>
                </c:pt>
                <c:pt idx="3">
                  <c:v>68330</c:v>
                </c:pt>
                <c:pt idx="4">
                  <c:v>30649</c:v>
                </c:pt>
                <c:pt idx="5">
                  <c:v>23800</c:v>
                </c:pt>
                <c:pt idx="6">
                  <c:v>259670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F-48F5-8F80-D24E9B367747}"/>
            </c:ext>
          </c:extLst>
        </c:ser>
        <c:ser>
          <c:idx val="2"/>
          <c:order val="2"/>
          <c:tx>
            <c:strRef>
              <c:f>'Pie Chart'!$D$2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EAF-48F5-8F80-D24E9B367747}"/>
              </c:ext>
            </c:extLst>
          </c:dPt>
          <c:dPt>
            <c:idx val="1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3EAF-48F5-8F80-D24E9B367747}"/>
              </c:ext>
            </c:extLst>
          </c:dPt>
          <c:dPt>
            <c:idx val="2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EAF-48F5-8F80-D24E9B36774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3EAF-48F5-8F80-D24E9B367747}"/>
              </c:ext>
            </c:extLst>
          </c:dPt>
          <c:dPt>
            <c:idx val="4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EAF-48F5-8F80-D24E9B367747}"/>
              </c:ext>
            </c:extLst>
          </c:dPt>
          <c:dPt>
            <c:idx val="5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3EAF-48F5-8F80-D24E9B367747}"/>
              </c:ext>
            </c:extLst>
          </c:dPt>
          <c:dPt>
            <c:idx val="6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EAF-48F5-8F80-D24E9B367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Chart'!$A$3:$A$9</c:f>
              <c:strCache>
                <c:ptCount val="7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Total</c:v>
                </c:pt>
              </c:strCache>
            </c:strRef>
          </c:cat>
          <c:val>
            <c:numRef>
              <c:f>'Pie Chart'!$D$3:$D$9</c:f>
              <c:numCache>
                <c:formatCode>General</c:formatCode>
                <c:ptCount val="7"/>
                <c:pt idx="0">
                  <c:v>0</c:v>
                </c:pt>
                <c:pt idx="1">
                  <c:v>50056</c:v>
                </c:pt>
                <c:pt idx="2">
                  <c:v>57397</c:v>
                </c:pt>
                <c:pt idx="3">
                  <c:v>27650</c:v>
                </c:pt>
                <c:pt idx="4">
                  <c:v>78338</c:v>
                </c:pt>
                <c:pt idx="5">
                  <c:v>55047</c:v>
                </c:pt>
                <c:pt idx="6">
                  <c:v>268488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AF-48F5-8F80-D24E9B367747}"/>
            </c:ext>
          </c:extLst>
        </c:ser>
        <c:ser>
          <c:idx val="3"/>
          <c:order val="3"/>
          <c:tx>
            <c:strRef>
              <c:f>'Pie Chart'!$E$2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3EAF-48F5-8F80-D24E9B367747}"/>
              </c:ext>
            </c:extLst>
          </c:dPt>
          <c:dPt>
            <c:idx val="1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3EAF-48F5-8F80-D24E9B367747}"/>
              </c:ext>
            </c:extLst>
          </c:dPt>
          <c:dPt>
            <c:idx val="2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3EAF-48F5-8F80-D24E9B36774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3EAF-48F5-8F80-D24E9B367747}"/>
              </c:ext>
            </c:extLst>
          </c:dPt>
          <c:dPt>
            <c:idx val="4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3EAF-48F5-8F80-D24E9B367747}"/>
              </c:ext>
            </c:extLst>
          </c:dPt>
          <c:dPt>
            <c:idx val="5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3EAF-48F5-8F80-D24E9B367747}"/>
              </c:ext>
            </c:extLst>
          </c:dPt>
          <c:dPt>
            <c:idx val="6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3EAF-48F5-8F80-D24E9B367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Chart'!$A$3:$A$9</c:f>
              <c:strCache>
                <c:ptCount val="7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Total</c:v>
                </c:pt>
              </c:strCache>
            </c:strRef>
          </c:cat>
          <c:val>
            <c:numRef>
              <c:f>'Pie Chart'!$E$3:$E$9</c:f>
              <c:numCache>
                <c:formatCode>General</c:formatCode>
                <c:ptCount val="7"/>
                <c:pt idx="0">
                  <c:v>0</c:v>
                </c:pt>
                <c:pt idx="1">
                  <c:v>75671</c:v>
                </c:pt>
                <c:pt idx="2">
                  <c:v>28812</c:v>
                </c:pt>
                <c:pt idx="3">
                  <c:v>31130</c:v>
                </c:pt>
                <c:pt idx="4">
                  <c:v>69697</c:v>
                </c:pt>
                <c:pt idx="5">
                  <c:v>74656</c:v>
                </c:pt>
                <c:pt idx="6">
                  <c:v>279966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AF-48F5-8F80-D24E9B367747}"/>
            </c:ext>
          </c:extLst>
        </c:ser>
        <c:ser>
          <c:idx val="4"/>
          <c:order val="4"/>
          <c:tx>
            <c:strRef>
              <c:f>'Pie Chart'!$F$2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5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3EAF-48F5-8F80-D24E9B367747}"/>
              </c:ext>
            </c:extLst>
          </c:dPt>
          <c:dPt>
            <c:idx val="1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3EAF-48F5-8F80-D24E9B367747}"/>
              </c:ext>
            </c:extLst>
          </c:dPt>
          <c:dPt>
            <c:idx val="2"/>
            <c:bubble3D val="0"/>
            <c:spPr>
              <a:solidFill>
                <a:schemeClr val="accent5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3EAF-48F5-8F80-D24E9B36774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3EAF-48F5-8F80-D24E9B367747}"/>
              </c:ext>
            </c:extLst>
          </c:dPt>
          <c:dPt>
            <c:idx val="4"/>
            <c:bubble3D val="0"/>
            <c:spPr>
              <a:solidFill>
                <a:schemeClr val="accent5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3EAF-48F5-8F80-D24E9B367747}"/>
              </c:ext>
            </c:extLst>
          </c:dPt>
          <c:dPt>
            <c:idx val="5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6-3EAF-48F5-8F80-D24E9B367747}"/>
              </c:ext>
            </c:extLst>
          </c:dPt>
          <c:dPt>
            <c:idx val="6"/>
            <c:bubble3D val="0"/>
            <c:spPr>
              <a:solidFill>
                <a:schemeClr val="accent5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EAF-48F5-8F80-D24E9B367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Chart'!$A$3:$A$9</c:f>
              <c:strCache>
                <c:ptCount val="7"/>
                <c:pt idx="0">
                  <c:v>Publisher</c:v>
                </c:pt>
                <c:pt idx="1">
                  <c:v>Wii Sports</c:v>
                </c:pt>
                <c:pt idx="2">
                  <c:v>Super Mario Bros.</c:v>
                </c:pt>
                <c:pt idx="3">
                  <c:v>Mario Kart Wii</c:v>
                </c:pt>
                <c:pt idx="4">
                  <c:v>Wii Sports Resort</c:v>
                </c:pt>
                <c:pt idx="5">
                  <c:v>Pokemon Red</c:v>
                </c:pt>
                <c:pt idx="6">
                  <c:v>Total</c:v>
                </c:pt>
              </c:strCache>
            </c:strRef>
          </c:cat>
          <c:val>
            <c:numRef>
              <c:f>'Pie Chart'!$F$3:$F$9</c:f>
              <c:numCache>
                <c:formatCode>General</c:formatCode>
                <c:ptCount val="7"/>
                <c:pt idx="0">
                  <c:v>0</c:v>
                </c:pt>
                <c:pt idx="1">
                  <c:v>233516</c:v>
                </c:pt>
                <c:pt idx="2">
                  <c:v>225189</c:v>
                </c:pt>
                <c:pt idx="3">
                  <c:v>148081</c:v>
                </c:pt>
                <c:pt idx="4">
                  <c:v>247182</c:v>
                </c:pt>
                <c:pt idx="5">
                  <c:v>179904</c:v>
                </c:pt>
                <c:pt idx="6">
                  <c:v>1033872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AF-48F5-8F80-D24E9B36774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'Pie Chart'!$A$4</c:f>
              <c:strCache>
                <c:ptCount val="1"/>
                <c:pt idx="0">
                  <c:v>Wii Sports</c:v>
                </c:pt>
              </c:strCache>
            </c:strRef>
          </c:tx>
          <c:dPt>
            <c:idx val="0"/>
            <c:bubble3D val="0"/>
            <c:explosion val="22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7D-46FB-864C-B3D9BEEC32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Chart'!$B$3:$E$3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'Pie Chart'!$B$4:$E$4</c:f>
              <c:numCache>
                <c:formatCode>General</c:formatCode>
                <c:ptCount val="4"/>
                <c:pt idx="0">
                  <c:v>40305</c:v>
                </c:pt>
                <c:pt idx="1">
                  <c:v>67484</c:v>
                </c:pt>
                <c:pt idx="2">
                  <c:v>50056</c:v>
                </c:pt>
                <c:pt idx="3">
                  <c:v>75671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D-46FB-864C-B3D9BEEC32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792930182354163E-2"/>
          <c:y val="0.15523148148148147"/>
          <c:w val="0.9452070698176458"/>
          <c:h val="0.58898038786818319"/>
        </c:manualLayout>
      </c:layout>
      <c:ofPieChart>
        <c:ofPieType val="bar"/>
        <c:varyColors val="1"/>
        <c:ser>
          <c:idx val="0"/>
          <c:order val="0"/>
          <c:tx>
            <c:strRef>
              <c:f>'Pie Chart'!$A$20</c:f>
              <c:strCache>
                <c:ptCount val="1"/>
                <c:pt idx="0">
                  <c:v>eternal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Chart'!$B$19:$I$19</c:f>
              <c:strCache>
                <c:ptCount val="8"/>
                <c:pt idx="0">
                  <c:v>zomato</c:v>
                </c:pt>
                <c:pt idx="1">
                  <c:v>blinkit</c:v>
                </c:pt>
                <c:pt idx="2">
                  <c:v>district </c:v>
                </c:pt>
                <c:pt idx="3">
                  <c:v>hyperpure</c:v>
                </c:pt>
                <c:pt idx="4">
                  <c:v>reaturant erp</c:v>
                </c:pt>
                <c:pt idx="5">
                  <c:v>cloud solns</c:v>
                </c:pt>
                <c:pt idx="6">
                  <c:v>marketing soln </c:v>
                </c:pt>
                <c:pt idx="7">
                  <c:v>others</c:v>
                </c:pt>
              </c:strCache>
            </c:strRef>
          </c:cat>
          <c:val>
            <c:numRef>
              <c:f>'Pie Chart'!$B$20:$I$20</c:f>
              <c:numCache>
                <c:formatCode>General</c:formatCode>
                <c:ptCount val="8"/>
                <c:pt idx="0">
                  <c:v>9500</c:v>
                </c:pt>
                <c:pt idx="1">
                  <c:v>5000</c:v>
                </c:pt>
                <c:pt idx="2">
                  <c:v>3500</c:v>
                </c:pt>
                <c:pt idx="3">
                  <c:v>1700</c:v>
                </c:pt>
                <c:pt idx="4">
                  <c:v>300</c:v>
                </c:pt>
                <c:pt idx="5">
                  <c:v>120</c:v>
                </c:pt>
                <c:pt idx="6">
                  <c:v>80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8-47F8-9CBC-B600FD262CC3}"/>
            </c:ext>
          </c:extLst>
        </c:ser>
        <c:ser>
          <c:idx val="1"/>
          <c:order val="1"/>
          <c:tx>
            <c:strRef>
              <c:f>'Pie Chart'!$A$21</c:f>
              <c:strCache>
                <c:ptCount val="1"/>
                <c:pt idx="0">
                  <c:v>20250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Chart'!$B$19:$I$19</c:f>
              <c:strCache>
                <c:ptCount val="8"/>
                <c:pt idx="0">
                  <c:v>zomato</c:v>
                </c:pt>
                <c:pt idx="1">
                  <c:v>blinkit</c:v>
                </c:pt>
                <c:pt idx="2">
                  <c:v>district </c:v>
                </c:pt>
                <c:pt idx="3">
                  <c:v>hyperpure</c:v>
                </c:pt>
                <c:pt idx="4">
                  <c:v>reaturant erp</c:v>
                </c:pt>
                <c:pt idx="5">
                  <c:v>cloud solns</c:v>
                </c:pt>
                <c:pt idx="6">
                  <c:v>marketing soln </c:v>
                </c:pt>
                <c:pt idx="7">
                  <c:v>others</c:v>
                </c:pt>
              </c:strCache>
            </c:strRef>
          </c:cat>
          <c:val>
            <c:numRef>
              <c:f>'Pie Chart'!$B$21:$I$21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DDA8-47F8-9CBC-B600FD262CC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279"/>
        <c:secondPieSize val="75"/>
        <c:ser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83887075091222"/>
          <c:y val="9.769178852643419E-2"/>
          <c:w val="0.53510290634402402"/>
          <c:h val="0.7522017997750281"/>
        </c:manualLayout>
      </c:layout>
      <c:doughnutChart>
        <c:varyColors val="1"/>
        <c:ser>
          <c:idx val="0"/>
          <c:order val="0"/>
          <c:tx>
            <c:strRef>
              <c:f>'Doughnut Chart'!$C$3</c:f>
              <c:strCache>
                <c:ptCount val="1"/>
                <c:pt idx="0">
                  <c:v>Qtr1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Chart'!$B$4:$B$9</c:f>
              <c:strCache>
                <c:ptCount val="6"/>
                <c:pt idx="0">
                  <c:v>Wii Sports</c:v>
                </c:pt>
                <c:pt idx="1">
                  <c:v>Super Mario Bros.</c:v>
                </c:pt>
                <c:pt idx="2">
                  <c:v>Mario Kart Wii</c:v>
                </c:pt>
                <c:pt idx="3">
                  <c:v>Wii Sports Resort</c:v>
                </c:pt>
                <c:pt idx="4">
                  <c:v>Pokemon Red</c:v>
                </c:pt>
                <c:pt idx="5">
                  <c:v>Total</c:v>
                </c:pt>
              </c:strCache>
            </c:strRef>
          </c:cat>
          <c:val>
            <c:numRef>
              <c:f>'Doughnut Chart'!$C$4:$C$9</c:f>
              <c:numCache>
                <c:formatCode>General</c:formatCode>
                <c:ptCount val="6"/>
                <c:pt idx="0">
                  <c:v>40305</c:v>
                </c:pt>
                <c:pt idx="1">
                  <c:v>69573</c:v>
                </c:pt>
                <c:pt idx="2">
                  <c:v>20971</c:v>
                </c:pt>
                <c:pt idx="3">
                  <c:v>68498</c:v>
                </c:pt>
                <c:pt idx="4">
                  <c:v>26401</c:v>
                </c:pt>
                <c:pt idx="5">
                  <c:v>225748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D-4153-9D82-35277F3FC76C}"/>
            </c:ext>
          </c:extLst>
        </c:ser>
        <c:ser>
          <c:idx val="1"/>
          <c:order val="1"/>
          <c:tx>
            <c:strRef>
              <c:f>'Doughnut Chart'!$D$3</c:f>
              <c:strCache>
                <c:ptCount val="1"/>
                <c:pt idx="0">
                  <c:v>Qtr2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Chart'!$B$4:$B$9</c:f>
              <c:strCache>
                <c:ptCount val="6"/>
                <c:pt idx="0">
                  <c:v>Wii Sports</c:v>
                </c:pt>
                <c:pt idx="1">
                  <c:v>Super Mario Bros.</c:v>
                </c:pt>
                <c:pt idx="2">
                  <c:v>Mario Kart Wii</c:v>
                </c:pt>
                <c:pt idx="3">
                  <c:v>Wii Sports Resort</c:v>
                </c:pt>
                <c:pt idx="4">
                  <c:v>Pokemon Red</c:v>
                </c:pt>
                <c:pt idx="5">
                  <c:v>Total</c:v>
                </c:pt>
              </c:strCache>
            </c:strRef>
          </c:cat>
          <c:val>
            <c:numRef>
              <c:f>'Doughnut Chart'!$D$4:$D$9</c:f>
              <c:numCache>
                <c:formatCode>General</c:formatCode>
                <c:ptCount val="6"/>
                <c:pt idx="0">
                  <c:v>67484</c:v>
                </c:pt>
                <c:pt idx="1">
                  <c:v>69407</c:v>
                </c:pt>
                <c:pt idx="2">
                  <c:v>68330</c:v>
                </c:pt>
                <c:pt idx="3">
                  <c:v>30649</c:v>
                </c:pt>
                <c:pt idx="4">
                  <c:v>23800</c:v>
                </c:pt>
                <c:pt idx="5">
                  <c:v>259670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9D-4153-9D82-35277F3FC76C}"/>
            </c:ext>
          </c:extLst>
        </c:ser>
        <c:ser>
          <c:idx val="2"/>
          <c:order val="2"/>
          <c:tx>
            <c:strRef>
              <c:f>'Doughnut Chart'!$E$3</c:f>
              <c:strCache>
                <c:ptCount val="1"/>
                <c:pt idx="0">
                  <c:v>Qtr3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Chart'!$B$4:$B$9</c:f>
              <c:strCache>
                <c:ptCount val="6"/>
                <c:pt idx="0">
                  <c:v>Wii Sports</c:v>
                </c:pt>
                <c:pt idx="1">
                  <c:v>Super Mario Bros.</c:v>
                </c:pt>
                <c:pt idx="2">
                  <c:v>Mario Kart Wii</c:v>
                </c:pt>
                <c:pt idx="3">
                  <c:v>Wii Sports Resort</c:v>
                </c:pt>
                <c:pt idx="4">
                  <c:v>Pokemon Red</c:v>
                </c:pt>
                <c:pt idx="5">
                  <c:v>Total</c:v>
                </c:pt>
              </c:strCache>
            </c:strRef>
          </c:cat>
          <c:val>
            <c:numRef>
              <c:f>'Doughnut Chart'!$E$4:$E$9</c:f>
              <c:numCache>
                <c:formatCode>General</c:formatCode>
                <c:ptCount val="6"/>
                <c:pt idx="0">
                  <c:v>50056</c:v>
                </c:pt>
                <c:pt idx="1">
                  <c:v>57397</c:v>
                </c:pt>
                <c:pt idx="2">
                  <c:v>27650</c:v>
                </c:pt>
                <c:pt idx="3">
                  <c:v>78338</c:v>
                </c:pt>
                <c:pt idx="4">
                  <c:v>55047</c:v>
                </c:pt>
                <c:pt idx="5">
                  <c:v>268488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9D-4153-9D82-35277F3FC76C}"/>
            </c:ext>
          </c:extLst>
        </c:ser>
        <c:ser>
          <c:idx val="3"/>
          <c:order val="3"/>
          <c:tx>
            <c:strRef>
              <c:f>'Doughnut Chart'!$F$3</c:f>
              <c:strCache>
                <c:ptCount val="1"/>
                <c:pt idx="0">
                  <c:v>Qtr4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Chart'!$B$4:$B$9</c:f>
              <c:strCache>
                <c:ptCount val="6"/>
                <c:pt idx="0">
                  <c:v>Wii Sports</c:v>
                </c:pt>
                <c:pt idx="1">
                  <c:v>Super Mario Bros.</c:v>
                </c:pt>
                <c:pt idx="2">
                  <c:v>Mario Kart Wii</c:v>
                </c:pt>
                <c:pt idx="3">
                  <c:v>Wii Sports Resort</c:v>
                </c:pt>
                <c:pt idx="4">
                  <c:v>Pokemon Red</c:v>
                </c:pt>
                <c:pt idx="5">
                  <c:v>Total</c:v>
                </c:pt>
              </c:strCache>
            </c:strRef>
          </c:cat>
          <c:val>
            <c:numRef>
              <c:f>'Doughnut Chart'!$F$4:$F$9</c:f>
              <c:numCache>
                <c:formatCode>General</c:formatCode>
                <c:ptCount val="6"/>
                <c:pt idx="0">
                  <c:v>75671</c:v>
                </c:pt>
                <c:pt idx="1">
                  <c:v>28812</c:v>
                </c:pt>
                <c:pt idx="2">
                  <c:v>31130</c:v>
                </c:pt>
                <c:pt idx="3">
                  <c:v>69697</c:v>
                </c:pt>
                <c:pt idx="4">
                  <c:v>74656</c:v>
                </c:pt>
                <c:pt idx="5">
                  <c:v>279966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9D-4153-9D82-35277F3FC76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04178988611581"/>
          <c:y val="0.14440352364880107"/>
          <c:w val="0.81485465805310353"/>
          <c:h val="0.71468078042407723"/>
        </c:manualLayout>
      </c:layout>
      <c:scatterChart>
        <c:scatterStyle val="lineMarker"/>
        <c:varyColors val="0"/>
        <c:ser>
          <c:idx val="0"/>
          <c:order val="0"/>
          <c:tx>
            <c:strRef>
              <c:f>Scatter!$C$3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Scatter!$B$4:$B$13</c:f>
              <c:numCache>
                <c:formatCode>"₹"#,##0_);[Red]\("₹"#,##0\)</c:formatCode>
                <c:ptCount val="10"/>
                <c:pt idx="0">
                  <c:v>25000</c:v>
                </c:pt>
                <c:pt idx="1">
                  <c:v>30000</c:v>
                </c:pt>
                <c:pt idx="2">
                  <c:v>8000</c:v>
                </c:pt>
                <c:pt idx="3">
                  <c:v>30000</c:v>
                </c:pt>
                <c:pt idx="4">
                  <c:v>5000</c:v>
                </c:pt>
                <c:pt idx="5">
                  <c:v>5000</c:v>
                </c:pt>
                <c:pt idx="6">
                  <c:v>40000</c:v>
                </c:pt>
                <c:pt idx="7">
                  <c:v>35000</c:v>
                </c:pt>
                <c:pt idx="8">
                  <c:v>25000</c:v>
                </c:pt>
                <c:pt idx="9">
                  <c:v>35000</c:v>
                </c:pt>
              </c:numCache>
            </c:numRef>
          </c:xVal>
          <c:yVal>
            <c:numRef>
              <c:f>Scatter!$C$4:$C$13</c:f>
              <c:numCache>
                <c:formatCode>"₹"#,##0_);[Red]\("₹"#,##0\)</c:formatCode>
                <c:ptCount val="10"/>
                <c:pt idx="0">
                  <c:v>40305</c:v>
                </c:pt>
                <c:pt idx="1">
                  <c:v>69573</c:v>
                </c:pt>
                <c:pt idx="2">
                  <c:v>20971</c:v>
                </c:pt>
                <c:pt idx="3">
                  <c:v>68498</c:v>
                </c:pt>
                <c:pt idx="4">
                  <c:v>26401</c:v>
                </c:pt>
                <c:pt idx="5">
                  <c:v>22525</c:v>
                </c:pt>
                <c:pt idx="6">
                  <c:v>73199</c:v>
                </c:pt>
                <c:pt idx="7">
                  <c:v>69934</c:v>
                </c:pt>
                <c:pt idx="8">
                  <c:v>58976</c:v>
                </c:pt>
                <c:pt idx="9">
                  <c:v>75806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E-B142-A3A2-A784C5FEB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673072"/>
        <c:axId val="1832321712"/>
      </c:scatterChart>
      <c:valAx>
        <c:axId val="146867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321712"/>
        <c:crosses val="autoZero"/>
        <c:crossBetween val="midCat"/>
      </c:valAx>
      <c:valAx>
        <c:axId val="18323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7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Scatter!$B$2:$B$3</c:f>
              <c:strCache>
                <c:ptCount val="2"/>
                <c:pt idx="0">
                  <c:v>March Sales - 2023</c:v>
                </c:pt>
                <c:pt idx="1">
                  <c:v>Advertisements Cost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Scatter!$A$4:$A$13</c:f>
              <c:strCache>
                <c:ptCount val="10"/>
                <c:pt idx="0">
                  <c:v>Wii Sports</c:v>
                </c:pt>
                <c:pt idx="1">
                  <c:v>Super Mario Bros.</c:v>
                </c:pt>
                <c:pt idx="2">
                  <c:v>Mario Kart Wii</c:v>
                </c:pt>
                <c:pt idx="3">
                  <c:v>Wii Sports Resort</c:v>
                </c:pt>
                <c:pt idx="4">
                  <c:v>Pokemon Red</c:v>
                </c:pt>
                <c:pt idx="5">
                  <c:v>Tetris</c:v>
                </c:pt>
                <c:pt idx="6">
                  <c:v>Pokemon Blue</c:v>
                </c:pt>
                <c:pt idx="7">
                  <c:v>Wii Play</c:v>
                </c:pt>
                <c:pt idx="8">
                  <c:v>Rebellion</c:v>
                </c:pt>
                <c:pt idx="9">
                  <c:v>Duck Hunt</c:v>
                </c:pt>
              </c:strCache>
            </c:strRef>
          </c:xVal>
          <c:yVal>
            <c:numRef>
              <c:f>Scatter!$B$4:$B$13</c:f>
              <c:numCache>
                <c:formatCode>"₹"#,##0_);[Red]\("₹"#,##0\)</c:formatCode>
                <c:ptCount val="10"/>
                <c:pt idx="0">
                  <c:v>25000</c:v>
                </c:pt>
                <c:pt idx="1">
                  <c:v>30000</c:v>
                </c:pt>
                <c:pt idx="2">
                  <c:v>8000</c:v>
                </c:pt>
                <c:pt idx="3">
                  <c:v>30000</c:v>
                </c:pt>
                <c:pt idx="4">
                  <c:v>5000</c:v>
                </c:pt>
                <c:pt idx="5">
                  <c:v>5000</c:v>
                </c:pt>
                <c:pt idx="6">
                  <c:v>40000</c:v>
                </c:pt>
                <c:pt idx="7">
                  <c:v>35000</c:v>
                </c:pt>
                <c:pt idx="8">
                  <c:v>25000</c:v>
                </c:pt>
                <c:pt idx="9">
                  <c:v>35000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7-4EC9-878C-EC6C7C777215}"/>
            </c:ext>
          </c:extLst>
        </c:ser>
        <c:ser>
          <c:idx val="1"/>
          <c:order val="1"/>
          <c:tx>
            <c:strRef>
              <c:f>Scatter!$C$2:$C$3</c:f>
              <c:strCache>
                <c:ptCount val="2"/>
                <c:pt idx="0">
                  <c:v>March Sales - 2023</c:v>
                </c:pt>
                <c:pt idx="1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Scatter!$A$4:$A$13</c:f>
              <c:strCache>
                <c:ptCount val="10"/>
                <c:pt idx="0">
                  <c:v>Wii Sports</c:v>
                </c:pt>
                <c:pt idx="1">
                  <c:v>Super Mario Bros.</c:v>
                </c:pt>
                <c:pt idx="2">
                  <c:v>Mario Kart Wii</c:v>
                </c:pt>
                <c:pt idx="3">
                  <c:v>Wii Sports Resort</c:v>
                </c:pt>
                <c:pt idx="4">
                  <c:v>Pokemon Red</c:v>
                </c:pt>
                <c:pt idx="5">
                  <c:v>Tetris</c:v>
                </c:pt>
                <c:pt idx="6">
                  <c:v>Pokemon Blue</c:v>
                </c:pt>
                <c:pt idx="7">
                  <c:v>Wii Play</c:v>
                </c:pt>
                <c:pt idx="8">
                  <c:v>Rebellion</c:v>
                </c:pt>
                <c:pt idx="9">
                  <c:v>Duck Hunt</c:v>
                </c:pt>
              </c:strCache>
            </c:strRef>
          </c:xVal>
          <c:yVal>
            <c:numRef>
              <c:f>Scatter!$C$4:$C$13</c:f>
              <c:numCache>
                <c:formatCode>"₹"#,##0_);[Red]\("₹"#,##0\)</c:formatCode>
                <c:ptCount val="10"/>
                <c:pt idx="0">
                  <c:v>40305</c:v>
                </c:pt>
                <c:pt idx="1">
                  <c:v>69573</c:v>
                </c:pt>
                <c:pt idx="2">
                  <c:v>20971</c:v>
                </c:pt>
                <c:pt idx="3">
                  <c:v>68498</c:v>
                </c:pt>
                <c:pt idx="4">
                  <c:v>26401</c:v>
                </c:pt>
                <c:pt idx="5">
                  <c:v>22525</c:v>
                </c:pt>
                <c:pt idx="6">
                  <c:v>73199</c:v>
                </c:pt>
                <c:pt idx="7">
                  <c:v>69934</c:v>
                </c:pt>
                <c:pt idx="8">
                  <c:v>58976</c:v>
                </c:pt>
                <c:pt idx="9">
                  <c:v>75806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97-4EC9-878C-EC6C7C777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242192"/>
        <c:axId val="1438247184"/>
      </c:scatterChart>
      <c:valAx>
        <c:axId val="143824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47184"/>
        <c:crosses val="autoZero"/>
        <c:crossBetween val="midCat"/>
      </c:valAx>
      <c:valAx>
        <c:axId val="143824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42192"/>
        <c:crosses val="autoZero"/>
        <c:crossBetween val="midCat"/>
      </c:valAx>
      <c:spPr>
        <a:noFill/>
        <a:ln>
          <a:noFill/>
        </a:ln>
        <a:effectLst>
          <a:glow rad="88900">
            <a:schemeClr val="accent1">
              <a:alpha val="64000"/>
            </a:schemeClr>
          </a:glo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578212161846255E-2"/>
          <c:y val="0.14233664342862848"/>
          <c:w val="0.89550463762397925"/>
          <c:h val="0.79116014444151384"/>
        </c:manualLayout>
      </c:layout>
      <c:bubbleChart>
        <c:varyColors val="0"/>
        <c:ser>
          <c:idx val="0"/>
          <c:order val="0"/>
          <c:tx>
            <c:strRef>
              <c:f>Bubble!$C$2:$C$3</c:f>
              <c:strCache>
                <c:ptCount val="2"/>
                <c:pt idx="0">
                  <c:v>Basic Cost Vs Sales Vs Profitability - March</c:v>
                </c:pt>
                <c:pt idx="1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xVal>
            <c:numRef>
              <c:f>Bubble!$B$4:$B$13</c:f>
              <c:numCache>
                <c:formatCode>_("₹"* #,##0_);_("₹"* \(#,##0\);_("₹"* "-"_);_(@_)</c:formatCode>
                <c:ptCount val="10"/>
                <c:pt idx="0">
                  <c:v>8000</c:v>
                </c:pt>
                <c:pt idx="1">
                  <c:v>5000</c:v>
                </c:pt>
                <c:pt idx="2">
                  <c:v>5000</c:v>
                </c:pt>
                <c:pt idx="3">
                  <c:v>25000</c:v>
                </c:pt>
                <c:pt idx="4">
                  <c:v>25000</c:v>
                </c:pt>
                <c:pt idx="5">
                  <c:v>30000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35000</c:v>
                </c:pt>
              </c:numCache>
            </c:numRef>
          </c:xVal>
          <c:yVal>
            <c:numRef>
              <c:f>Bubble!$C$4:$C$13</c:f>
              <c:numCache>
                <c:formatCode>_("₹"* #,##0_);_("₹"* \(#,##0\);_("₹"* "-"_);_(@_)</c:formatCode>
                <c:ptCount val="10"/>
                <c:pt idx="0">
                  <c:v>20971</c:v>
                </c:pt>
                <c:pt idx="1">
                  <c:v>22525</c:v>
                </c:pt>
                <c:pt idx="2">
                  <c:v>26401</c:v>
                </c:pt>
                <c:pt idx="3">
                  <c:v>40305</c:v>
                </c:pt>
                <c:pt idx="4">
                  <c:v>58976</c:v>
                </c:pt>
                <c:pt idx="5">
                  <c:v>68498</c:v>
                </c:pt>
                <c:pt idx="6">
                  <c:v>69573</c:v>
                </c:pt>
                <c:pt idx="7">
                  <c:v>69934</c:v>
                </c:pt>
                <c:pt idx="8">
                  <c:v>73199</c:v>
                </c:pt>
                <c:pt idx="9">
                  <c:v>75806</c:v>
                </c:pt>
              </c:numCache>
            </c:numRef>
          </c:yVal>
          <c:bubbleSize>
            <c:numRef>
              <c:f>Bubble!$D$4:$D$13</c:f>
              <c:numCache>
                <c:formatCode>0%</c:formatCode>
                <c:ptCount val="10"/>
                <c:pt idx="0">
                  <c:v>1.621375</c:v>
                </c:pt>
                <c:pt idx="1">
                  <c:v>3.5049999999999999</c:v>
                </c:pt>
                <c:pt idx="2">
                  <c:v>4.2801999999999998</c:v>
                </c:pt>
                <c:pt idx="3">
                  <c:v>0.61219999999999997</c:v>
                </c:pt>
                <c:pt idx="4">
                  <c:v>1.35904</c:v>
                </c:pt>
                <c:pt idx="5">
                  <c:v>1.2832666666666668</c:v>
                </c:pt>
                <c:pt idx="6">
                  <c:v>1.3190999999999999</c:v>
                </c:pt>
                <c:pt idx="7">
                  <c:v>0.99811428571428573</c:v>
                </c:pt>
                <c:pt idx="8">
                  <c:v>0.82997500000000002</c:v>
                </c:pt>
                <c:pt idx="9">
                  <c:v>1.1658857142857142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E71B-4DD9-976A-6F692F2CB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438261744"/>
        <c:axId val="1438254256"/>
      </c:bubbleChart>
      <c:valAx>
        <c:axId val="143826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54256"/>
        <c:crosses val="autoZero"/>
        <c:crossBetween val="midCat"/>
      </c:valAx>
      <c:valAx>
        <c:axId val="14382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6174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Sales-YTD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Radar!$C$3</c:f>
              <c:strCache>
                <c:ptCount val="1"/>
                <c:pt idx="0">
                  <c:v>Basic Cost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Radar!$B$4:$B$13</c:f>
              <c:strCache>
                <c:ptCount val="10"/>
                <c:pt idx="0">
                  <c:v>Mario Kart Wii</c:v>
                </c:pt>
                <c:pt idx="1">
                  <c:v>Tetris</c:v>
                </c:pt>
                <c:pt idx="2">
                  <c:v>Pokemon Red</c:v>
                </c:pt>
                <c:pt idx="3">
                  <c:v>Wii Sports</c:v>
                </c:pt>
                <c:pt idx="4">
                  <c:v>Rebellion</c:v>
                </c:pt>
                <c:pt idx="5">
                  <c:v>Wii Sports Resort</c:v>
                </c:pt>
                <c:pt idx="6">
                  <c:v>Super Mario Bros.</c:v>
                </c:pt>
                <c:pt idx="7">
                  <c:v>Wii Play</c:v>
                </c:pt>
                <c:pt idx="8">
                  <c:v>Pokemon Blue</c:v>
                </c:pt>
                <c:pt idx="9">
                  <c:v>Duck Hunt</c:v>
                </c:pt>
              </c:strCache>
            </c:strRef>
          </c:cat>
          <c:val>
            <c:numRef>
              <c:f>Radar!$C$4:$C$13</c:f>
              <c:numCache>
                <c:formatCode>_("₹"* #,##0_);_("₹"* \(#,##0\);_("₹"* "-"_);_(@_)</c:formatCode>
                <c:ptCount val="10"/>
                <c:pt idx="0">
                  <c:v>8000</c:v>
                </c:pt>
                <c:pt idx="1">
                  <c:v>5000</c:v>
                </c:pt>
                <c:pt idx="2">
                  <c:v>5000</c:v>
                </c:pt>
                <c:pt idx="3">
                  <c:v>25000</c:v>
                </c:pt>
                <c:pt idx="4">
                  <c:v>25000</c:v>
                </c:pt>
                <c:pt idx="5">
                  <c:v>25000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B-43DA-87B0-7D5C6CF6965E}"/>
            </c:ext>
          </c:extLst>
        </c:ser>
        <c:ser>
          <c:idx val="1"/>
          <c:order val="1"/>
          <c:tx>
            <c:strRef>
              <c:f>Radar!$D$3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Radar!$B$4:$B$13</c:f>
              <c:strCache>
                <c:ptCount val="10"/>
                <c:pt idx="0">
                  <c:v>Mario Kart Wii</c:v>
                </c:pt>
                <c:pt idx="1">
                  <c:v>Tetris</c:v>
                </c:pt>
                <c:pt idx="2">
                  <c:v>Pokemon Red</c:v>
                </c:pt>
                <c:pt idx="3">
                  <c:v>Wii Sports</c:v>
                </c:pt>
                <c:pt idx="4">
                  <c:v>Rebellion</c:v>
                </c:pt>
                <c:pt idx="5">
                  <c:v>Wii Sports Resort</c:v>
                </c:pt>
                <c:pt idx="6">
                  <c:v>Super Mario Bros.</c:v>
                </c:pt>
                <c:pt idx="7">
                  <c:v>Wii Play</c:v>
                </c:pt>
                <c:pt idx="8">
                  <c:v>Pokemon Blue</c:v>
                </c:pt>
                <c:pt idx="9">
                  <c:v>Duck Hunt</c:v>
                </c:pt>
              </c:strCache>
            </c:strRef>
          </c:cat>
          <c:val>
            <c:numRef>
              <c:f>Radar!$D$4:$D$13</c:f>
              <c:numCache>
                <c:formatCode>_("₹"* #,##0_);_("₹"* \(#,##0\);_("₹"* "-"_);_(@_)</c:formatCode>
                <c:ptCount val="10"/>
                <c:pt idx="0">
                  <c:v>13120</c:v>
                </c:pt>
                <c:pt idx="1">
                  <c:v>9500</c:v>
                </c:pt>
                <c:pt idx="2">
                  <c:v>2500</c:v>
                </c:pt>
                <c:pt idx="3">
                  <c:v>30750</c:v>
                </c:pt>
                <c:pt idx="4">
                  <c:v>48000</c:v>
                </c:pt>
                <c:pt idx="5">
                  <c:v>54300</c:v>
                </c:pt>
                <c:pt idx="6">
                  <c:v>51000</c:v>
                </c:pt>
                <c:pt idx="7">
                  <c:v>42350</c:v>
                </c:pt>
                <c:pt idx="8">
                  <c:v>64000</c:v>
                </c:pt>
                <c:pt idx="9">
                  <c:v>63350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B-43DA-87B0-7D5C6CF69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155440"/>
        <c:axId val="1297130064"/>
      </c:radarChart>
      <c:catAx>
        <c:axId val="129715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30064"/>
        <c:crosses val="autoZero"/>
        <c:auto val="1"/>
        <c:lblAlgn val="ctr"/>
        <c:lblOffset val="100"/>
        <c:noMultiLvlLbl val="0"/>
      </c:catAx>
      <c:valAx>
        <c:axId val="12971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5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Stock!$B$63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Stock!$A$64:$A$68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Stock!$B$64:$B$68</c:f>
              <c:numCache>
                <c:formatCode>General</c:formatCode>
                <c:ptCount val="5"/>
                <c:pt idx="0">
                  <c:v>95160000</c:v>
                </c:pt>
                <c:pt idx="1">
                  <c:v>109830000</c:v>
                </c:pt>
                <c:pt idx="2">
                  <c:v>73480000</c:v>
                </c:pt>
                <c:pt idx="3">
                  <c:v>113500000</c:v>
                </c:pt>
                <c:pt idx="4">
                  <c:v>54970000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8-B346-9D86-80B400B07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0004816"/>
        <c:axId val="1350256608"/>
      </c:barChart>
      <c:stockChart>
        <c:ser>
          <c:idx val="1"/>
          <c:order val="1"/>
          <c:tx>
            <c:strRef>
              <c:f>Stock!$C$63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Stock!$A$64:$A$68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Stock!$C$64:$C$68</c:f>
              <c:numCache>
                <c:formatCode>General</c:formatCode>
                <c:ptCount val="5"/>
                <c:pt idx="0">
                  <c:v>5.9</c:v>
                </c:pt>
                <c:pt idx="1">
                  <c:v>6</c:v>
                </c:pt>
                <c:pt idx="2">
                  <c:v>6.25</c:v>
                </c:pt>
                <c:pt idx="3">
                  <c:v>6.4</c:v>
                </c:pt>
                <c:pt idx="4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8-B346-9D86-80B400B07308}"/>
            </c:ext>
          </c:extLst>
        </c:ser>
        <c:ser>
          <c:idx val="2"/>
          <c:order val="2"/>
          <c:tx>
            <c:strRef>
              <c:f>Stock!$D$63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Stock!$A$64:$A$68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Stock!$D$64:$D$68</c:f>
              <c:numCache>
                <c:formatCode>General</c:formatCode>
                <c:ptCount val="5"/>
                <c:pt idx="0">
                  <c:v>6.05</c:v>
                </c:pt>
                <c:pt idx="1">
                  <c:v>6.1</c:v>
                </c:pt>
                <c:pt idx="2">
                  <c:v>6.3</c:v>
                </c:pt>
                <c:pt idx="3">
                  <c:v>6.5</c:v>
                </c:pt>
                <c:pt idx="4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8-B346-9D86-80B400B07308}"/>
            </c:ext>
          </c:extLst>
        </c:ser>
        <c:ser>
          <c:idx val="3"/>
          <c:order val="3"/>
          <c:tx>
            <c:strRef>
              <c:f>Stock!$E$63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Stock!$A$64:$A$68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Stock!$E$64:$E$68</c:f>
              <c:numCache>
                <c:formatCode>General</c:formatCode>
                <c:ptCount val="5"/>
                <c:pt idx="0">
                  <c:v>5.8</c:v>
                </c:pt>
                <c:pt idx="1">
                  <c:v>5.8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38-B346-9D86-80B400B07308}"/>
            </c:ext>
          </c:extLst>
        </c:ser>
        <c:ser>
          <c:idx val="4"/>
          <c:order val="4"/>
          <c:tx>
            <c:strRef>
              <c:f>Stock!$F$63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Stock!$A$64:$A$68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Stock!$F$64:$F$68</c:f>
              <c:numCache>
                <c:formatCode>General</c:formatCode>
                <c:ptCount val="5"/>
                <c:pt idx="0">
                  <c:v>5.9</c:v>
                </c:pt>
                <c:pt idx="1">
                  <c:v>5.9</c:v>
                </c:pt>
                <c:pt idx="2">
                  <c:v>6.05</c:v>
                </c:pt>
                <c:pt idx="3">
                  <c:v>6.25</c:v>
                </c:pt>
                <c:pt idx="4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38-B346-9D86-80B400B07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83115663"/>
        <c:axId val="2106144688"/>
      </c:stockChart>
      <c:dateAx>
        <c:axId val="135000481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56608"/>
        <c:crosses val="autoZero"/>
        <c:auto val="1"/>
        <c:lblOffset val="100"/>
        <c:baseTimeUnit val="days"/>
      </c:dateAx>
      <c:valAx>
        <c:axId val="135025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004816"/>
        <c:crosses val="autoZero"/>
        <c:crossBetween val="between"/>
      </c:valAx>
      <c:valAx>
        <c:axId val="21061446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5663"/>
        <c:crosses val="max"/>
        <c:crossBetween val="between"/>
      </c:valAx>
      <c:dateAx>
        <c:axId val="83115663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106144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Stock!$B$13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Stock!$A$14:$A$18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Stock!$B$14:$B$18</c:f>
              <c:numCache>
                <c:formatCode>General</c:formatCode>
                <c:ptCount val="5"/>
                <c:pt idx="0">
                  <c:v>6.05</c:v>
                </c:pt>
                <c:pt idx="1">
                  <c:v>6.1</c:v>
                </c:pt>
                <c:pt idx="2">
                  <c:v>6.3</c:v>
                </c:pt>
                <c:pt idx="3">
                  <c:v>6.5</c:v>
                </c:pt>
                <c:pt idx="4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E-4BC2-9B5C-B31EBBDB7EFC}"/>
            </c:ext>
          </c:extLst>
        </c:ser>
        <c:ser>
          <c:idx val="1"/>
          <c:order val="1"/>
          <c:tx>
            <c:strRef>
              <c:f>Stock!$C$13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Stock!$A$14:$A$18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Stock!$C$14:$C$18</c:f>
              <c:numCache>
                <c:formatCode>General</c:formatCode>
                <c:ptCount val="5"/>
                <c:pt idx="0">
                  <c:v>5.8</c:v>
                </c:pt>
                <c:pt idx="1">
                  <c:v>5.8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E-4BC2-9B5C-B31EBBDB7EFC}"/>
            </c:ext>
          </c:extLst>
        </c:ser>
        <c:ser>
          <c:idx val="2"/>
          <c:order val="2"/>
          <c:tx>
            <c:strRef>
              <c:f>Stock!$D$13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alpha val="85000"/>
                </a:schemeClr>
              </a:solidFill>
              <a:ln>
                <a:noFill/>
              </a:ln>
              <a:effectLst/>
            </c:spPr>
          </c:marker>
          <c:cat>
            <c:numRef>
              <c:f>Stock!$A$14:$A$18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Stock!$D$14:$D$18</c:f>
              <c:numCache>
                <c:formatCode>General</c:formatCode>
                <c:ptCount val="5"/>
                <c:pt idx="0">
                  <c:v>5.9</c:v>
                </c:pt>
                <c:pt idx="1">
                  <c:v>5.9</c:v>
                </c:pt>
                <c:pt idx="2">
                  <c:v>6.05</c:v>
                </c:pt>
                <c:pt idx="3">
                  <c:v>6.25</c:v>
                </c:pt>
                <c:pt idx="4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E-4BC2-9B5C-B31EBBDB7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dk1">
                  <a:lumMod val="65000"/>
                  <a:lumOff val="35000"/>
                </a:schemeClr>
              </a:solidFill>
              <a:round/>
            </a:ln>
            <a:effectLst/>
          </c:spPr>
        </c:hiLowLines>
        <c:axId val="1262178288"/>
        <c:axId val="1262155824"/>
      </c:stockChart>
      <c:dateAx>
        <c:axId val="126217828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5824"/>
        <c:crosses val="autoZero"/>
        <c:auto val="1"/>
        <c:lblOffset val="100"/>
        <c:baseTimeUnit val="days"/>
      </c:dateAx>
      <c:valAx>
        <c:axId val="1262155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7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Stock!$B$25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Stock!$A$26:$A$30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Stock!$B$26:$B$30</c:f>
              <c:numCache>
                <c:formatCode>General</c:formatCode>
                <c:ptCount val="5"/>
                <c:pt idx="0">
                  <c:v>5.9</c:v>
                </c:pt>
                <c:pt idx="1">
                  <c:v>6</c:v>
                </c:pt>
                <c:pt idx="2">
                  <c:v>6.25</c:v>
                </c:pt>
                <c:pt idx="3">
                  <c:v>6.4</c:v>
                </c:pt>
                <c:pt idx="4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A-4855-8BD8-59269626DE88}"/>
            </c:ext>
          </c:extLst>
        </c:ser>
        <c:ser>
          <c:idx val="1"/>
          <c:order val="1"/>
          <c:tx>
            <c:strRef>
              <c:f>Stock!$C$25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Stock!$A$26:$A$30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Stock!$C$26:$C$30</c:f>
              <c:numCache>
                <c:formatCode>General</c:formatCode>
                <c:ptCount val="5"/>
                <c:pt idx="0">
                  <c:v>6.05</c:v>
                </c:pt>
                <c:pt idx="1">
                  <c:v>6.1</c:v>
                </c:pt>
                <c:pt idx="2">
                  <c:v>6.3</c:v>
                </c:pt>
                <c:pt idx="3">
                  <c:v>6.5</c:v>
                </c:pt>
                <c:pt idx="4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A-4855-8BD8-59269626DE88}"/>
            </c:ext>
          </c:extLst>
        </c:ser>
        <c:ser>
          <c:idx val="2"/>
          <c:order val="2"/>
          <c:tx>
            <c:strRef>
              <c:f>Stock!$D$25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Stock!$A$26:$A$30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Stock!$D$26:$D$30</c:f>
              <c:numCache>
                <c:formatCode>General</c:formatCode>
                <c:ptCount val="5"/>
                <c:pt idx="0">
                  <c:v>5.8</c:v>
                </c:pt>
                <c:pt idx="1">
                  <c:v>5.8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FA-4855-8BD8-59269626DE88}"/>
            </c:ext>
          </c:extLst>
        </c:ser>
        <c:ser>
          <c:idx val="3"/>
          <c:order val="3"/>
          <c:tx>
            <c:strRef>
              <c:f>Stock!$E$25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Stock!$A$26:$A$30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Stock!$E$26:$E$30</c:f>
              <c:numCache>
                <c:formatCode>General</c:formatCode>
                <c:ptCount val="5"/>
                <c:pt idx="0">
                  <c:v>5.9</c:v>
                </c:pt>
                <c:pt idx="1">
                  <c:v>5.9</c:v>
                </c:pt>
                <c:pt idx="2">
                  <c:v>6.05</c:v>
                </c:pt>
                <c:pt idx="3">
                  <c:v>6.25</c:v>
                </c:pt>
                <c:pt idx="4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FA-4855-8BD8-59269626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dk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lt1">
                    <a:lumMod val="8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179728304"/>
        <c:axId val="1179745776"/>
      </c:stockChart>
      <c:dateAx>
        <c:axId val="117972830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45776"/>
        <c:crosses val="autoZero"/>
        <c:auto val="1"/>
        <c:lblOffset val="100"/>
        <c:baseTimeUnit val="days"/>
      </c:dateAx>
      <c:valAx>
        <c:axId val="1179745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2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Stock!$B$37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numRef>
              <c:f>Stock!$A$38:$A$42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Stock!$B$38:$B$42</c:f>
              <c:numCache>
                <c:formatCode>General</c:formatCode>
                <c:ptCount val="5"/>
                <c:pt idx="0">
                  <c:v>95160000</c:v>
                </c:pt>
                <c:pt idx="1">
                  <c:v>109830000</c:v>
                </c:pt>
                <c:pt idx="2">
                  <c:v>73480000</c:v>
                </c:pt>
                <c:pt idx="3">
                  <c:v>113500000</c:v>
                </c:pt>
                <c:pt idx="4">
                  <c:v>54970000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9-44DE-95D6-DB7D243EF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144768"/>
        <c:axId val="977146016"/>
      </c:barChart>
      <c:stockChart>
        <c:ser>
          <c:idx val="1"/>
          <c:order val="1"/>
          <c:tx>
            <c:strRef>
              <c:f>Stock!$C$37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Stock!$A$38:$A$42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Stock!$C$38:$C$42</c:f>
              <c:numCache>
                <c:formatCode>General</c:formatCode>
                <c:ptCount val="5"/>
                <c:pt idx="0">
                  <c:v>5.9</c:v>
                </c:pt>
                <c:pt idx="1">
                  <c:v>6</c:v>
                </c:pt>
                <c:pt idx="2">
                  <c:v>6.25</c:v>
                </c:pt>
                <c:pt idx="3">
                  <c:v>6.4</c:v>
                </c:pt>
                <c:pt idx="4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49-44DE-95D6-DB7D243EF91F}"/>
            </c:ext>
          </c:extLst>
        </c:ser>
        <c:ser>
          <c:idx val="2"/>
          <c:order val="2"/>
          <c:tx>
            <c:strRef>
              <c:f>Stock!$D$37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Stock!$A$38:$A$42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Stock!$D$38:$D$42</c:f>
              <c:numCache>
                <c:formatCode>General</c:formatCode>
                <c:ptCount val="5"/>
                <c:pt idx="0">
                  <c:v>5.9</c:v>
                </c:pt>
                <c:pt idx="1">
                  <c:v>5.9</c:v>
                </c:pt>
                <c:pt idx="2">
                  <c:v>6.05</c:v>
                </c:pt>
                <c:pt idx="3">
                  <c:v>6.25</c:v>
                </c:pt>
                <c:pt idx="4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49-44DE-95D6-DB7D243EF91F}"/>
            </c:ext>
          </c:extLst>
        </c:ser>
        <c:ser>
          <c:idx val="3"/>
          <c:order val="3"/>
          <c:tx>
            <c:strRef>
              <c:f>Stock!$E$37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Stock!$A$38:$A$42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Stock!$E$38:$E$42</c:f>
              <c:numCache>
                <c:formatCode>General</c:formatCode>
                <c:ptCount val="5"/>
                <c:pt idx="0">
                  <c:v>6.05</c:v>
                </c:pt>
                <c:pt idx="1">
                  <c:v>6.1</c:v>
                </c:pt>
                <c:pt idx="2">
                  <c:v>6.3</c:v>
                </c:pt>
                <c:pt idx="3">
                  <c:v>6.5</c:v>
                </c:pt>
                <c:pt idx="4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49-44DE-95D6-DB7D243EF91F}"/>
            </c:ext>
          </c:extLst>
        </c:ser>
        <c:ser>
          <c:idx val="4"/>
          <c:order val="4"/>
          <c:tx>
            <c:strRef>
              <c:f>Stock!$F$37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Stock!$A$38:$A$42</c:f>
              <c:numCache>
                <c:formatCode>d\-mmm\-yy</c:formatCode>
                <c:ptCount val="5"/>
                <c:pt idx="0">
                  <c:v>45014</c:v>
                </c:pt>
                <c:pt idx="1">
                  <c:v>45013</c:v>
                </c:pt>
                <c:pt idx="2">
                  <c:v>45012</c:v>
                </c:pt>
                <c:pt idx="3">
                  <c:v>45009</c:v>
                </c:pt>
                <c:pt idx="4">
                  <c:v>45008</c:v>
                </c:pt>
              </c:numCache>
            </c:numRef>
          </c:cat>
          <c:val>
            <c:numRef>
              <c:f>Stock!$F$38:$F$42</c:f>
              <c:numCache>
                <c:formatCode>General</c:formatCode>
                <c:ptCount val="5"/>
                <c:pt idx="0">
                  <c:v>5.8</c:v>
                </c:pt>
                <c:pt idx="1">
                  <c:v>5.8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49-44DE-95D6-DB7D243EF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dk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lt1">
                    <a:lumMod val="8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977475216"/>
        <c:axId val="977474384"/>
      </c:stockChart>
      <c:dateAx>
        <c:axId val="97714476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46016"/>
        <c:crosses val="autoZero"/>
        <c:auto val="1"/>
        <c:lblOffset val="100"/>
        <c:baseTimeUnit val="days"/>
      </c:dateAx>
      <c:valAx>
        <c:axId val="977146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44768"/>
        <c:crosses val="autoZero"/>
        <c:crossBetween val="between"/>
      </c:valAx>
      <c:valAx>
        <c:axId val="977474384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75216"/>
        <c:crosses val="max"/>
        <c:crossBetween val="between"/>
      </c:valAx>
      <c:dateAx>
        <c:axId val="977475216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977474384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Sales -2022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-2022</a:t>
          </a:r>
        </a:p>
      </cx:txPr>
    </cx:title>
    <cx:plotArea>
      <cx:plotAreaRegion>
        <cx:series layoutId="clusteredColumn" uniqueId="{6A1BE025-9283-7C45-8F92-27B197E090E5}">
          <cx:tx>
            <cx:txData>
              <cx:f>_xlchart.v1.1</cx:f>
              <cx:v>YTD Sales</cx:v>
            </cx:txData>
          </cx:tx>
          <cx:dataLabels pos="ctr">
            <cx:visibility seriesName="0" categoryName="0" value="1"/>
          </cx:dataLabels>
          <cx:dataId val="0"/>
          <cx:layoutPr>
            <cx:binning intervalClosed="r" underflow="auto" overflow="auto">
              <cx:binSize val="10000"/>
            </cx:binning>
          </cx:layoutPr>
        </cx:series>
      </cx:plotAreaRegion>
      <cx:axis id="0">
        <cx:catScaling gapWidth="0"/>
        <cx:title/>
        <cx:tickLabels/>
      </cx:axis>
      <cx:axis id="1">
        <cx:valScaling/>
        <cx:title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  <cx:data id="1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F5D41D93-E2D0-4A21-8D17-AC178C5C8070}" formatIdx="0">
          <cx:dataId val="0"/>
          <cx:layoutPr>
            <cx:binning intervalClosed="r">
              <cx:binCount val="6"/>
            </cx:binning>
          </cx:layoutPr>
        </cx:series>
        <cx:series layoutId="clusteredColumn" hidden="1" uniqueId="{AA9308C5-0224-426C-A0C1-3B7E6C5524C1}" formatIdx="1">
          <cx:dataId val="1"/>
          <cx:layoutPr>
            <cx:binning intervalClosed="r"/>
          </cx:layoutPr>
        </cx:series>
      </cx:plotAreaRegion>
      <cx:axis id="0">
        <cx:catScaling gapWidth="0.0500000007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plotSurface>
          <cx:spPr>
            <a:gradFill>
              <a:gsLst>
                <a:gs pos="11494">
                  <a:srgbClr val="EBEFF9"/>
                </a:gs>
                <a:gs pos="23035">
                  <a:srgbClr val="DFE6F5"/>
                </a:gs>
                <a:gs pos="53946">
                  <a:srgbClr val="BFCFEB"/>
                </a:gs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</cx:plotSurface>
        <cx:series layoutId="boxWhisker" uniqueId="{9C5EBAE4-0857-1F42-8399-CAAA26737008}">
          <cx:spPr>
            <a:solidFill>
              <a:schemeClr val="accent1">
                <a:lumMod val="60000"/>
                <a:lumOff val="40000"/>
              </a:schemeClr>
            </a:solidFill>
          </cx:spPr>
          <cx:dataLabels pos="r">
            <cx:visibility seriesName="0" categoryName="0" value="1"/>
            <cx:separator>, </cx:separator>
          </cx:dataLabels>
          <cx:dataId val="0"/>
          <cx:layoutPr>
            <cx:visibility meanLine="1" meanMarker="1" nonoutliers="1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_xlchart.v1.12</cx:f>
      </cx:numDim>
    </cx:data>
  </cx:chartData>
  <cx:chart>
    <cx:title pos="t" align="ctr" overlay="0"/>
    <cx:plotArea>
      <cx:plotAreaRegion>
        <cx:series layoutId="treemap" uniqueId="{49B770E6-5202-4132-ADCA-A2A66EAD7878}">
          <cx:tx>
            <cx:txData>
              <cx:f>_xlchart.v1.11</cx:f>
              <cx:v>March Sales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  <cx:spPr>
    <a:solidFill>
      <a:schemeClr val="bg1">
        <a:lumMod val="50000"/>
      </a:schemeClr>
    </a:solidFill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val">
        <cx:f>_xlchart.v1.24</cx:f>
      </cx:numDim>
    </cx:data>
  </cx:chartData>
  <cx:chart>
    <cx:title pos="t" align="ctr" overlay="0">
      <cx:tx>
        <cx:txData>
          <cx:v>Nintendo March Sales</cx:v>
        </cx:txData>
      </cx:tx>
      <cx:txPr>
        <a:bodyPr vertOverflow="overflow" horzOverflow="overflow" wrap="square" lIns="0" tIns="0" rIns="0" bIns="0"/>
        <a:lstStyle/>
        <a:p>
          <a:pPr algn="ctr" rtl="0">
            <a:defRPr sz="1800" b="1" i="0">
              <a:solidFill>
                <a:schemeClr val="bg2">
                  <a:lumMod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IN">
              <a:solidFill>
                <a:schemeClr val="bg2">
                  <a:lumMod val="25000"/>
                </a:schemeClr>
              </a:solidFill>
            </a:rPr>
            <a:t>Nintendo March Sales</a:t>
          </a:r>
        </a:p>
      </cx:txPr>
    </cx:title>
    <cx:plotArea>
      <cx:plotAreaRegion>
        <cx:series layoutId="waterfall" uniqueId="{43BF705A-69CE-4477-B3F7-96FA38A45AED}" formatIdx="0">
          <cx:tx>
            <cx:txData>
              <cx:f>_xlchart.v1.23</cx:f>
              <cx:v>Amount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2">
                        <a:lumMod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>
                  <a:solidFill>
                    <a:schemeClr val="bg2">
                      <a:lumMod val="25000"/>
                    </a:schemeClr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solidFill>
                <a:schemeClr val="bg2">
                  <a:lumMod val="25000"/>
                </a:schemeClr>
              </a:solidFill>
            </a:endParaRPr>
          </a:p>
        </cx:txPr>
      </cx:axis>
      <cx:axis id="1" hidden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solidFill>
                <a:schemeClr val="bg2">
                  <a:lumMod val="25000"/>
                </a:schemeClr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2">
                  <a:lumMod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IN">
            <a:solidFill>
              <a:schemeClr val="bg2">
                <a:lumMod val="25000"/>
              </a:schemeClr>
            </a:solidFill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_xlchart.v2.25</cx:f>
      </cx:strDim>
      <cx:numDim type="val">
        <cx:f>_xlchart.v2.27</cx:f>
      </cx:numDim>
    </cx:data>
  </cx:chartData>
  <cx:chart>
    <cx:title pos="t" align="ctr" overlay="0">
      <cx:tx>
        <cx:txData>
          <cx:v>Sales 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Funnel</a:t>
          </a:r>
        </a:p>
      </cx:txPr>
    </cx:title>
    <cx:plotArea>
      <cx:plotAreaRegion>
        <cx:series layoutId="funnel" uniqueId="{CA37C726-985C-4E10-B750-39D548EF8EDA}">
          <cx:tx>
            <cx:txData>
              <cx:f>_xlchart.v2.26</cx:f>
              <cx:v>Students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</cx:f>
      </cx:strDim>
      <cx:numDim type="size">
        <cx:f>_xlchart.v1.39</cx:f>
      </cx:numDim>
    </cx:data>
  </cx:chartData>
  <cx:chart>
    <cx:title pos="t" align="ctr" overlay="0"/>
    <cx:plotArea>
      <cx:plotAreaRegion>
        <cx:series layoutId="sunburst" uniqueId="{7E10A8E8-F944-4106-BC78-997FDD35A5B8}">
          <cx:tx>
            <cx:txData>
              <cx:f>_xlchart.v1.38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</cx:f>
      </cx:strDim>
      <cx:numDim type="size">
        <cx:f>_xlchart.v1.33</cx:f>
      </cx:numDim>
    </cx:data>
  </cx:chartData>
  <cx:chart>
    <cx:title pos="t" align="ctr" overlay="0"/>
    <cx:plotArea>
      <cx:plotAreaRegion>
        <cx:series layoutId="sunburst" uniqueId="{164E59A0-F73D-4F31-80EC-AD2B5ED0A0A6}">
          <cx:tx>
            <cx:txData>
              <cx:f>_xlchart.v1.32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40754</xdr:colOff>
      <xdr:row>10</xdr:row>
      <xdr:rowOff>10885</xdr:rowOff>
    </xdr:from>
    <xdr:to>
      <xdr:col>8</xdr:col>
      <xdr:colOff>642257</xdr:colOff>
      <xdr:row>24</xdr:row>
      <xdr:rowOff>75821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6F19C49-936B-BA5B-4932-09B4CEF19D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7629" y="2011135"/>
              <a:ext cx="3106578" cy="2865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293914</xdr:colOff>
      <xdr:row>7</xdr:row>
      <xdr:rowOff>76200</xdr:rowOff>
    </xdr:from>
    <xdr:to>
      <xdr:col>20</xdr:col>
      <xdr:colOff>76200</xdr:colOff>
      <xdr:row>25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41571D3-92CC-4574-FDCA-2922435DE5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2689" y="1476375"/>
              <a:ext cx="6068786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36722</xdr:colOff>
      <xdr:row>3</xdr:row>
      <xdr:rowOff>82627</xdr:rowOff>
    </xdr:from>
    <xdr:to>
      <xdr:col>17</xdr:col>
      <xdr:colOff>321324</xdr:colOff>
      <xdr:row>21</xdr:row>
      <xdr:rowOff>191877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34E52-469F-054E-4A99-0CFBE7D1A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697761</xdr:colOff>
      <xdr:row>21</xdr:row>
      <xdr:rowOff>33227</xdr:rowOff>
    </xdr:from>
    <xdr:to>
      <xdr:col>7</xdr:col>
      <xdr:colOff>653459</xdr:colOff>
      <xdr:row>37</xdr:row>
      <xdr:rowOff>48460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49389-EDD5-666B-0A1D-96DDD51CF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121832</xdr:colOff>
      <xdr:row>0</xdr:row>
      <xdr:rowOff>167804</xdr:rowOff>
    </xdr:from>
    <xdr:to>
      <xdr:col>16</xdr:col>
      <xdr:colOff>348355</xdr:colOff>
      <xdr:row>15</xdr:row>
      <xdr:rowOff>132908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491A6E-AEE6-9679-DA2B-606AB1546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254738</xdr:colOff>
      <xdr:row>16</xdr:row>
      <xdr:rowOff>33227</xdr:rowOff>
    </xdr:from>
    <xdr:to>
      <xdr:col>18</xdr:col>
      <xdr:colOff>248093</xdr:colOff>
      <xdr:row>28</xdr:row>
      <xdr:rowOff>77529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D3D4D0-89F7-45A3-8097-423702AA2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571500</xdr:colOff>
      <xdr:row>29</xdr:row>
      <xdr:rowOff>23924</xdr:rowOff>
    </xdr:from>
    <xdr:to>
      <xdr:col>18</xdr:col>
      <xdr:colOff>487326</xdr:colOff>
      <xdr:row>43</xdr:row>
      <xdr:rowOff>131135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19DDA5-A5E5-408F-9F44-2B406FA4E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650874</xdr:colOff>
      <xdr:row>1</xdr:row>
      <xdr:rowOff>1</xdr:rowOff>
    </xdr:from>
    <xdr:to>
      <xdr:col>12</xdr:col>
      <xdr:colOff>298450</xdr:colOff>
      <xdr:row>13</xdr:row>
      <xdr:rowOff>113424</xdr:rowOff>
    </xdr:to>
    <xdr:pic>
      <xdr:nvPicPr>
        <xdr:cNvPr id="2" name="Picture 1" descr="Did you know you can make fluffy and delicious yeasted doughnuts in a bread machine? These homemade doughnuts are going to knock your socks off! Glazed, dipped into chocolate, or covered in cinnamon sugar, do what you want! Go nuts with your doughnuts! #donuts #doughnuts #fluffy #homemade #yeasted #glazed #chocolate #sprinkles #doughnutholes #timbits #dunkindonuts #krispykreme #timhortons #breadmachines #fried">
          <a:extLst>
            <a:ext uri="{FF2B5EF4-FFF2-40B4-BE49-F238E27FC236}">
              <a16:creationId xmlns:a16="http://schemas.microsoft.com/office/drawing/2014/main" id="{1C045551-0F8C-D7F4-622C-FEBEC1E17A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51" t="20644" r="25977" b="21523"/>
        <a:stretch/>
      </xdr:blipFill>
      <xdr:spPr bwMode="auto">
        <a:xfrm>
          <a:off x="5057774" y="203201"/>
          <a:ext cx="3686176" cy="2501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711200</xdr:colOff>
      <xdr:row>14</xdr:row>
      <xdr:rowOff>63500</xdr:rowOff>
    </xdr:from>
    <xdr:to>
      <xdr:col>12</xdr:col>
      <xdr:colOff>190500</xdr:colOff>
      <xdr:row>37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78492-C09D-430D-A101-3406A6230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512233</xdr:colOff>
      <xdr:row>0</xdr:row>
      <xdr:rowOff>16933</xdr:rowOff>
    </xdr:from>
    <xdr:to>
      <xdr:col>11</xdr:col>
      <xdr:colOff>152400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7F8419-38B1-F5E3-9848-1E65F3B50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62632</xdr:colOff>
      <xdr:row>19</xdr:row>
      <xdr:rowOff>76722</xdr:rowOff>
    </xdr:from>
    <xdr:to>
      <xdr:col>11</xdr:col>
      <xdr:colOff>15659</xdr:colOff>
      <xdr:row>33</xdr:row>
      <xdr:rowOff>79853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489AB-1C70-482E-9F7B-25DB60990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614795</xdr:colOff>
      <xdr:row>4</xdr:row>
      <xdr:rowOff>0</xdr:rowOff>
    </xdr:from>
    <xdr:to>
      <xdr:col>15</xdr:col>
      <xdr:colOff>635000</xdr:colOff>
      <xdr:row>22</xdr:row>
      <xdr:rowOff>159327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E1B32D-AC16-4B68-8304-90273F48D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168088</xdr:colOff>
      <xdr:row>25</xdr:row>
      <xdr:rowOff>145676</xdr:rowOff>
    </xdr:from>
    <xdr:to>
      <xdr:col>7</xdr:col>
      <xdr:colOff>541097</xdr:colOff>
      <xdr:row>47</xdr:row>
      <xdr:rowOff>16809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893CA-2064-0B06-C42F-0AC3135CB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88" y="5031441"/>
          <a:ext cx="5987156" cy="4062133"/>
        </a:xfrm>
        <a:prstGeom prst="rect">
          <a:avLst/>
        </a:prstGeom>
      </xdr:spPr>
    </xdr:pic>
    <xdr:clientData/>
  </xdr:twoCellAnchor>
  <xdr:twoCellAnchor>
    <xdr:from>
      <xdr:col>3</xdr:col>
      <xdr:colOff>767285</xdr:colOff>
      <xdr:row>2</xdr:row>
      <xdr:rowOff>4866</xdr:rowOff>
    </xdr:from>
    <xdr:to>
      <xdr:col>11</xdr:col>
      <xdr:colOff>60838</xdr:colOff>
      <xdr:row>24</xdr:row>
      <xdr:rowOff>152095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3C48203-FD98-690C-0CB3-883FD97FDB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8609" y="397072"/>
              <a:ext cx="5479200" cy="4450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273845</xdr:colOff>
      <xdr:row>1</xdr:row>
      <xdr:rowOff>59532</xdr:rowOff>
    </xdr:from>
    <xdr:to>
      <xdr:col>17</xdr:col>
      <xdr:colOff>381000</xdr:colOff>
      <xdr:row>25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54CCE60-EE0A-496B-B613-E1595F824F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3345" y="250032"/>
              <a:ext cx="7691436" cy="46077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208355</xdr:colOff>
      <xdr:row>0</xdr:row>
      <xdr:rowOff>166683</xdr:rowOff>
    </xdr:from>
    <xdr:to>
      <xdr:col>13</xdr:col>
      <xdr:colOff>4328</xdr:colOff>
      <xdr:row>25</xdr:row>
      <xdr:rowOff>49919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4B0C1E-1821-4393-81C5-A99C12FB9A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1605" y="166683"/>
              <a:ext cx="8225598" cy="49433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298526</xdr:colOff>
      <xdr:row>3</xdr:row>
      <xdr:rowOff>51341</xdr:rowOff>
    </xdr:from>
    <xdr:to>
      <xdr:col>13</xdr:col>
      <xdr:colOff>38331</xdr:colOff>
      <xdr:row>17</xdr:row>
      <xdr:rowOff>29968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7C2AC7A-1C22-4C79-96BF-BB03A5438E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4685" y="643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149368</xdr:colOff>
      <xdr:row>0</xdr:row>
      <xdr:rowOff>129886</xdr:rowOff>
    </xdr:from>
    <xdr:to>
      <xdr:col>16</xdr:col>
      <xdr:colOff>530368</xdr:colOff>
      <xdr:row>23</xdr:row>
      <xdr:rowOff>10823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C81F72-C5A7-4D7F-82B2-AE31A126ED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6925" y="129886"/>
              <a:ext cx="6810375" cy="43620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355023</xdr:colOff>
      <xdr:row>24</xdr:row>
      <xdr:rowOff>3031</xdr:rowOff>
    </xdr:from>
    <xdr:to>
      <xdr:col>14</xdr:col>
      <xdr:colOff>251113</xdr:colOff>
      <xdr:row>38</xdr:row>
      <xdr:rowOff>18617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2F1117B-DBB4-412F-BFBF-8E29846851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7068" y="46789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260959</xdr:colOff>
      <xdr:row>1</xdr:row>
      <xdr:rowOff>65240</xdr:rowOff>
    </xdr:from>
    <xdr:to>
      <xdr:col>14</xdr:col>
      <xdr:colOff>22181</xdr:colOff>
      <xdr:row>24</xdr:row>
      <xdr:rowOff>40710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B05B0A-6583-4A38-B7E9-C5E0B0E81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393700</xdr:colOff>
      <xdr:row>53</xdr:row>
      <xdr:rowOff>146050</xdr:rowOff>
    </xdr:from>
    <xdr:to>
      <xdr:col>23</xdr:col>
      <xdr:colOff>50800</xdr:colOff>
      <xdr:row>75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41650C-0BE5-A0CB-AA43-395C39819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191633</xdr:colOff>
      <xdr:row>1</xdr:row>
      <xdr:rowOff>147411</xdr:rowOff>
    </xdr:from>
    <xdr:to>
      <xdr:col>13</xdr:col>
      <xdr:colOff>703035</xdr:colOff>
      <xdr:row>16</xdr:row>
      <xdr:rowOff>5216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E5DD39-5066-4664-BBCB-3EE852509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112259</xdr:colOff>
      <xdr:row>17</xdr:row>
      <xdr:rowOff>176212</xdr:rowOff>
    </xdr:from>
    <xdr:to>
      <xdr:col>13</xdr:col>
      <xdr:colOff>57830</xdr:colOff>
      <xdr:row>31</xdr:row>
      <xdr:rowOff>129947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980B23-6828-4E0A-B87A-EE78B35B6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89580</xdr:colOff>
      <xdr:row>33</xdr:row>
      <xdr:rowOff>130856</xdr:rowOff>
    </xdr:from>
    <xdr:to>
      <xdr:col>13</xdr:col>
      <xdr:colOff>35151</xdr:colOff>
      <xdr:row>47</xdr:row>
      <xdr:rowOff>95931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2A366E0-7A0C-4B21-BE93-783D48259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BE128-25F1-D64C-A52E-907E0E6BAB1E}" name="Table1" displayName="Table1" ref="A1:C16" totalsRowShown="0" headerRowDxfId="12">
  <autoFilter ref="A1:C16" xr:uid="{226BE128-25F1-D64C-A52E-907E0E6BAB1E}"/>
  <tableColumns count="3">
    <tableColumn id="1" xr3:uid="{0A895F14-6144-EA41-8915-B8B9E423D2B0}" name="Publisher"/>
    <tableColumn id="2" xr3:uid="{3EE8C4D6-33DF-1E47-A4E8-FB0D1ED2CD4F}" name="Genre"/>
    <tableColumn id="3" xr3:uid="{D350EA1C-CA44-6244-AED5-ABB8CD4450A3}" name="March Sa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BA650E-E277-B845-8039-98CF6BD805B4}" name="Table13" displayName="Table13" ref="B2:E20" totalsRowShown="0" headerRowDxfId="11" dataDxfId="10">
  <sortState xmlns:xlrd2="http://schemas.microsoft.com/office/spreadsheetml/2017/richdata2" ref="B3:E20">
    <sortCondition ref="B3:B20"/>
    <sortCondition ref="C3:C20"/>
    <sortCondition ref="D3:D20"/>
  </sortState>
  <tableColumns count="4">
    <tableColumn id="1" xr3:uid="{9F8E5516-4B8B-F849-A2D5-D757773131C9}" name="Publisher" dataDxfId="9"/>
    <tableColumn id="2" xr3:uid="{68D4A11C-ECC8-AC40-8C81-CFD5D1F387D5}" name="Genre" dataDxfId="8"/>
    <tableColumn id="3" xr3:uid="{4FB419CD-3A88-7B45-BFCB-52839E57653D}" name="Name" dataDxfId="7"/>
    <tableColumn id="4" xr3:uid="{AAE6A06E-06F2-F841-A653-5050853A06D7}" name="Sales" dataDxfId="6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6B2776-7C3A-844F-9721-275070C37369}" name="Table1345" displayName="Table1345" ref="B24:E38" totalsRowShown="0" headerRowDxfId="5" dataDxfId="4">
  <sortState xmlns:xlrd2="http://schemas.microsoft.com/office/spreadsheetml/2017/richdata2" ref="B25:E38">
    <sortCondition ref="B25:B38"/>
    <sortCondition ref="C25:C38"/>
    <sortCondition ref="D25:D38"/>
  </sortState>
  <tableColumns count="4">
    <tableColumn id="1" xr3:uid="{F101CA78-E15A-8844-976A-77CAB657E71D}" name="Publisher" dataDxfId="3"/>
    <tableColumn id="2" xr3:uid="{9C3540EC-10FB-E64D-A546-7392EA865DC0}" name="Sub Cat" dataDxfId="2"/>
    <tableColumn id="3" xr3:uid="{AE1162BA-13B1-AF4A-A938-1DD073639258}" name="Gender" dataDxfId="1"/>
    <tableColumn id="4" xr3:uid="{5A6B2BE0-3C92-A246-A7C7-4BB35EB9C732}" name="Sale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F3E5-363A-4A67-A273-665729BD390A}">
  <sheetPr codeName="Sheet1"/>
  <dimension ref="A2:E38"/>
  <sheetViews>
    <sheetView showGridLines="0" topLeftCell="B1" zoomScale="70" zoomScaleNormal="70" workbookViewId="0">
      <selection activeCell="R32" sqref="R32"/>
    </sheetView>
  </sheetViews>
  <sheetFormatPr defaultColWidth="9.140625" defaultRowHeight="15.75" x14ac:dyDescent="0.25"/>
  <cols>
    <col min="1" max="1" width="43.42578125" style="2" bestFit="1" customWidth="1"/>
    <col min="2" max="2" width="13.140625" style="2" customWidth="1"/>
    <col min="3" max="3" width="16.140625" style="2" customWidth="1"/>
    <col min="4" max="13" width="9.42578125" style="2" customWidth="1"/>
    <col min="14" max="15" width="10.140625" style="2" bestFit="1" customWidth="1"/>
    <col min="16" max="16384" width="9.140625" style="2"/>
  </cols>
  <sheetData>
    <row r="2" spans="1:3" x14ac:dyDescent="0.25">
      <c r="A2" s="57" t="s">
        <v>0</v>
      </c>
      <c r="B2" s="58"/>
    </row>
    <row r="3" spans="1:3" x14ac:dyDescent="0.25">
      <c r="A3" s="4" t="s">
        <v>1</v>
      </c>
      <c r="B3" s="4" t="s">
        <v>2</v>
      </c>
      <c r="C3" s="2">
        <f>MIN(A3:B24)</f>
        <v>20971</v>
      </c>
    </row>
    <row r="4" spans="1:3" x14ac:dyDescent="0.25">
      <c r="A4" s="3" t="s">
        <v>3</v>
      </c>
      <c r="B4" s="1">
        <v>40305</v>
      </c>
      <c r="C4" s="2">
        <f>MAX(A2:B24)</f>
        <v>79587</v>
      </c>
    </row>
    <row r="5" spans="1:3" x14ac:dyDescent="0.25">
      <c r="A5" s="3" t="s">
        <v>4</v>
      </c>
      <c r="B5" s="1">
        <v>69573</v>
      </c>
      <c r="C5" s="2">
        <f>C4-C3</f>
        <v>58616</v>
      </c>
    </row>
    <row r="6" spans="1:3" x14ac:dyDescent="0.25">
      <c r="A6" s="3" t="s">
        <v>5</v>
      </c>
      <c r="B6" s="1">
        <v>20971</v>
      </c>
    </row>
    <row r="7" spans="1:3" x14ac:dyDescent="0.25">
      <c r="A7" s="3" t="s">
        <v>6</v>
      </c>
      <c r="B7" s="1">
        <v>68498</v>
      </c>
    </row>
    <row r="8" spans="1:3" x14ac:dyDescent="0.25">
      <c r="A8" s="3" t="s">
        <v>7</v>
      </c>
      <c r="B8" s="1">
        <v>26401</v>
      </c>
    </row>
    <row r="9" spans="1:3" x14ac:dyDescent="0.25">
      <c r="A9" s="3" t="s">
        <v>8</v>
      </c>
      <c r="B9" s="1">
        <v>22525</v>
      </c>
    </row>
    <row r="10" spans="1:3" x14ac:dyDescent="0.25">
      <c r="A10" s="3" t="s">
        <v>9</v>
      </c>
      <c r="B10" s="1">
        <v>73199</v>
      </c>
    </row>
    <row r="11" spans="1:3" x14ac:dyDescent="0.25">
      <c r="A11" s="3" t="s">
        <v>10</v>
      </c>
      <c r="B11" s="1">
        <v>69934</v>
      </c>
    </row>
    <row r="12" spans="1:3" x14ac:dyDescent="0.25">
      <c r="A12" s="3" t="s">
        <v>11</v>
      </c>
      <c r="B12" s="1">
        <v>58976</v>
      </c>
    </row>
    <row r="13" spans="1:3" x14ac:dyDescent="0.25">
      <c r="A13" s="3" t="s">
        <v>12</v>
      </c>
      <c r="B13" s="1">
        <v>75806</v>
      </c>
    </row>
    <row r="14" spans="1:3" x14ac:dyDescent="0.25">
      <c r="A14" s="3" t="s">
        <v>13</v>
      </c>
      <c r="B14" s="1">
        <v>33018</v>
      </c>
    </row>
    <row r="15" spans="1:3" x14ac:dyDescent="0.25">
      <c r="A15" s="3" t="s">
        <v>14</v>
      </c>
      <c r="B15" s="1">
        <v>23304</v>
      </c>
    </row>
    <row r="16" spans="1:3" x14ac:dyDescent="0.25">
      <c r="A16" s="3" t="s">
        <v>15</v>
      </c>
      <c r="B16" s="1">
        <v>53835</v>
      </c>
    </row>
    <row r="17" spans="1:2" x14ac:dyDescent="0.25">
      <c r="A17" s="3" t="s">
        <v>16</v>
      </c>
      <c r="B17" s="1">
        <v>68313</v>
      </c>
    </row>
    <row r="18" spans="1:2" x14ac:dyDescent="0.25">
      <c r="A18" s="3" t="s">
        <v>17</v>
      </c>
      <c r="B18" s="1">
        <v>41357</v>
      </c>
    </row>
    <row r="19" spans="1:2" x14ac:dyDescent="0.25">
      <c r="A19" s="3" t="s">
        <v>18</v>
      </c>
      <c r="B19" s="1">
        <v>26443</v>
      </c>
    </row>
    <row r="20" spans="1:2" x14ac:dyDescent="0.25">
      <c r="A20" s="3" t="s">
        <v>19</v>
      </c>
      <c r="B20" s="1">
        <v>65325</v>
      </c>
    </row>
    <row r="21" spans="1:2" x14ac:dyDescent="0.25">
      <c r="A21" s="3" t="s">
        <v>20</v>
      </c>
      <c r="B21" s="1">
        <v>51091</v>
      </c>
    </row>
    <row r="22" spans="1:2" x14ac:dyDescent="0.25">
      <c r="A22" s="3" t="s">
        <v>21</v>
      </c>
      <c r="B22" s="1">
        <v>48143</v>
      </c>
    </row>
    <row r="23" spans="1:2" x14ac:dyDescent="0.25">
      <c r="A23" s="3" t="s">
        <v>22</v>
      </c>
      <c r="B23" s="1">
        <v>76213</v>
      </c>
    </row>
    <row r="24" spans="1:2" x14ac:dyDescent="0.25">
      <c r="A24" s="3" t="s">
        <v>23</v>
      </c>
      <c r="B24" s="1">
        <v>79587</v>
      </c>
    </row>
    <row r="30" spans="1:2" x14ac:dyDescent="0.25">
      <c r="A30" s="7" t="s">
        <v>30</v>
      </c>
    </row>
    <row r="33" spans="1:5" ht="31.5" x14ac:dyDescent="0.25">
      <c r="A33" s="54" t="s">
        <v>117</v>
      </c>
      <c r="B33" s="54" t="s">
        <v>118</v>
      </c>
      <c r="C33" s="54" t="s">
        <v>55</v>
      </c>
      <c r="D33" s="54" t="s">
        <v>119</v>
      </c>
      <c r="E33" s="54" t="s">
        <v>120</v>
      </c>
    </row>
    <row r="34" spans="1:5" ht="63" x14ac:dyDescent="0.25">
      <c r="A34" s="54" t="s">
        <v>121</v>
      </c>
      <c r="B34" s="55" t="s">
        <v>122</v>
      </c>
      <c r="C34" s="55" t="s">
        <v>123</v>
      </c>
      <c r="D34" s="55" t="s">
        <v>124</v>
      </c>
      <c r="E34" s="55" t="s">
        <v>125</v>
      </c>
    </row>
    <row r="35" spans="1:5" ht="63" x14ac:dyDescent="0.25">
      <c r="A35" s="54" t="s">
        <v>126</v>
      </c>
      <c r="B35" s="55" t="s">
        <v>127</v>
      </c>
      <c r="C35" s="55" t="s">
        <v>128</v>
      </c>
      <c r="D35" s="55" t="s">
        <v>129</v>
      </c>
      <c r="E35" s="55" t="s">
        <v>130</v>
      </c>
    </row>
    <row r="36" spans="1:5" ht="47.25" x14ac:dyDescent="0.25">
      <c r="A36" s="54" t="s">
        <v>131</v>
      </c>
      <c r="B36" s="55" t="s">
        <v>132</v>
      </c>
      <c r="C36" s="55" t="s">
        <v>133</v>
      </c>
      <c r="D36" s="55" t="s">
        <v>134</v>
      </c>
      <c r="E36" s="55" t="s">
        <v>135</v>
      </c>
    </row>
    <row r="37" spans="1:5" ht="63" x14ac:dyDescent="0.25">
      <c r="A37" s="54" t="s">
        <v>136</v>
      </c>
      <c r="B37" s="55" t="s">
        <v>137</v>
      </c>
      <c r="C37" s="55" t="s">
        <v>138</v>
      </c>
      <c r="D37" s="55" t="s">
        <v>139</v>
      </c>
      <c r="E37" s="55" t="s">
        <v>140</v>
      </c>
    </row>
    <row r="38" spans="1:5" ht="63" x14ac:dyDescent="0.25">
      <c r="A38" s="54" t="s">
        <v>141</v>
      </c>
      <c r="B38" s="55" t="s">
        <v>142</v>
      </c>
      <c r="C38" s="55" t="s">
        <v>143</v>
      </c>
      <c r="D38" s="55" t="s">
        <v>144</v>
      </c>
      <c r="E38" s="55" t="s">
        <v>145</v>
      </c>
    </row>
  </sheetData>
  <sortState xmlns:xlrd2="http://schemas.microsoft.com/office/spreadsheetml/2017/richdata2" ref="A14:B17">
    <sortCondition ref="B14:B17"/>
  </sortState>
  <mergeCells count="1">
    <mergeCell ref="A2:B2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ABEF-2566-4F90-AC8C-0EA54E7BBFD4}">
  <dimension ref="A2:E24"/>
  <sheetViews>
    <sheetView zoomScale="83" workbookViewId="0">
      <selection activeCell="Q24" sqref="Q24"/>
    </sheetView>
  </sheetViews>
  <sheetFormatPr defaultColWidth="8.7109375" defaultRowHeight="15" x14ac:dyDescent="0.25"/>
  <cols>
    <col min="1" max="1" width="43.42578125" bestFit="1" customWidth="1"/>
    <col min="2" max="2" width="12.28515625" bestFit="1" customWidth="1"/>
  </cols>
  <sheetData>
    <row r="2" spans="1:5" ht="15.75" x14ac:dyDescent="0.25">
      <c r="A2" s="2"/>
      <c r="B2" s="57" t="s">
        <v>0</v>
      </c>
      <c r="C2" s="59"/>
      <c r="D2" s="59"/>
      <c r="E2" s="58"/>
    </row>
    <row r="3" spans="1:5" ht="15.75" x14ac:dyDescent="0.25">
      <c r="A3" s="4" t="s">
        <v>1</v>
      </c>
      <c r="B3" s="4" t="s">
        <v>24</v>
      </c>
      <c r="C3" s="4" t="s">
        <v>25</v>
      </c>
      <c r="D3" s="4" t="s">
        <v>26</v>
      </c>
      <c r="E3" s="4" t="s">
        <v>27</v>
      </c>
    </row>
    <row r="4" spans="1:5" ht="15.75" x14ac:dyDescent="0.25">
      <c r="A4" s="3" t="s">
        <v>3</v>
      </c>
      <c r="B4" s="1">
        <v>40305</v>
      </c>
      <c r="C4" s="1">
        <v>67484</v>
      </c>
      <c r="D4" s="1">
        <v>50056</v>
      </c>
      <c r="E4" s="1">
        <v>75671</v>
      </c>
    </row>
    <row r="5" spans="1:5" ht="15.75" x14ac:dyDescent="0.25">
      <c r="A5" s="3" t="s">
        <v>4</v>
      </c>
      <c r="B5" s="1">
        <v>69573</v>
      </c>
      <c r="C5" s="1">
        <v>69407</v>
      </c>
      <c r="D5" s="1">
        <v>57397</v>
      </c>
      <c r="E5" s="1">
        <v>28812</v>
      </c>
    </row>
    <row r="6" spans="1:5" ht="15.75" x14ac:dyDescent="0.25">
      <c r="A6" s="3" t="s">
        <v>5</v>
      </c>
      <c r="B6" s="1">
        <v>20971</v>
      </c>
      <c r="C6" s="1">
        <v>68330</v>
      </c>
      <c r="D6" s="1">
        <v>27650</v>
      </c>
      <c r="E6" s="1">
        <v>31130</v>
      </c>
    </row>
    <row r="7" spans="1:5" ht="15.75" x14ac:dyDescent="0.25">
      <c r="A7" s="3" t="s">
        <v>6</v>
      </c>
      <c r="B7" s="1">
        <v>68498</v>
      </c>
      <c r="C7" s="1">
        <v>30649</v>
      </c>
      <c r="D7" s="1">
        <v>78338</v>
      </c>
      <c r="E7" s="1">
        <v>69697</v>
      </c>
    </row>
    <row r="8" spans="1:5" ht="15.75" x14ac:dyDescent="0.25">
      <c r="A8" s="3" t="s">
        <v>7</v>
      </c>
      <c r="B8" s="1">
        <v>26401</v>
      </c>
      <c r="C8" s="1">
        <v>23800</v>
      </c>
      <c r="D8" s="1">
        <v>55047</v>
      </c>
      <c r="E8" s="1">
        <v>74656</v>
      </c>
    </row>
    <row r="9" spans="1:5" ht="15.75" x14ac:dyDescent="0.25">
      <c r="A9" s="3" t="s">
        <v>8</v>
      </c>
      <c r="B9" s="1">
        <v>22525</v>
      </c>
      <c r="C9" s="1">
        <v>65931</v>
      </c>
      <c r="D9" s="1">
        <v>60753</v>
      </c>
      <c r="E9" s="1">
        <v>56138</v>
      </c>
    </row>
    <row r="10" spans="1:5" ht="15.75" x14ac:dyDescent="0.25">
      <c r="A10" s="3" t="s">
        <v>9</v>
      </c>
      <c r="B10" s="1">
        <v>73199</v>
      </c>
      <c r="C10" s="1">
        <v>47162</v>
      </c>
      <c r="D10" s="1">
        <v>41992</v>
      </c>
      <c r="E10" s="1">
        <v>48959</v>
      </c>
    </row>
    <row r="11" spans="1:5" ht="15.75" x14ac:dyDescent="0.25">
      <c r="A11" s="3" t="s">
        <v>10</v>
      </c>
      <c r="B11" s="1">
        <v>69934</v>
      </c>
      <c r="C11" s="1">
        <v>54164</v>
      </c>
      <c r="D11" s="1">
        <v>55924</v>
      </c>
      <c r="E11" s="1">
        <v>77582</v>
      </c>
    </row>
    <row r="12" spans="1:5" ht="15.75" x14ac:dyDescent="0.25">
      <c r="A12" s="3" t="s">
        <v>11</v>
      </c>
      <c r="B12" s="1">
        <v>58976</v>
      </c>
      <c r="C12" s="1">
        <v>74362</v>
      </c>
      <c r="D12" s="1">
        <v>63382</v>
      </c>
      <c r="E12" s="1">
        <v>47230</v>
      </c>
    </row>
    <row r="13" spans="1:5" ht="15.75" x14ac:dyDescent="0.25">
      <c r="A13" s="3" t="s">
        <v>12</v>
      </c>
      <c r="B13" s="1">
        <v>75806</v>
      </c>
      <c r="C13" s="1">
        <v>47467</v>
      </c>
      <c r="D13" s="1">
        <v>20330</v>
      </c>
      <c r="E13" s="1">
        <v>65647</v>
      </c>
    </row>
    <row r="14" spans="1:5" ht="15.75" x14ac:dyDescent="0.25">
      <c r="A14" s="3" t="s">
        <v>13</v>
      </c>
      <c r="B14" s="1">
        <v>33018</v>
      </c>
      <c r="C14" s="1">
        <v>24114</v>
      </c>
      <c r="D14" s="1">
        <v>42351</v>
      </c>
      <c r="E14" s="1">
        <v>29518</v>
      </c>
    </row>
    <row r="15" spans="1:5" ht="15.75" x14ac:dyDescent="0.25">
      <c r="A15" s="3" t="s">
        <v>14</v>
      </c>
      <c r="B15" s="1">
        <v>23304</v>
      </c>
      <c r="C15" s="1">
        <v>43183</v>
      </c>
      <c r="D15" s="1">
        <v>25160</v>
      </c>
      <c r="E15" s="1">
        <v>59011</v>
      </c>
    </row>
    <row r="16" spans="1:5" ht="15.75" x14ac:dyDescent="0.25">
      <c r="A16" s="3" t="s">
        <v>15</v>
      </c>
      <c r="B16" s="1">
        <v>53835</v>
      </c>
      <c r="C16" s="1">
        <v>47589</v>
      </c>
      <c r="D16" s="1">
        <v>45532</v>
      </c>
      <c r="E16" s="1">
        <v>61745</v>
      </c>
    </row>
    <row r="17" spans="1:5" ht="15.75" x14ac:dyDescent="0.25">
      <c r="A17" s="3" t="s">
        <v>16</v>
      </c>
      <c r="B17" s="1">
        <v>68313</v>
      </c>
      <c r="C17" s="1">
        <v>36211</v>
      </c>
      <c r="D17" s="1">
        <v>49578</v>
      </c>
      <c r="E17" s="1">
        <v>37756</v>
      </c>
    </row>
    <row r="18" spans="1:5" ht="15.75" x14ac:dyDescent="0.25">
      <c r="A18" s="3" t="s">
        <v>17</v>
      </c>
      <c r="B18" s="1">
        <v>41357</v>
      </c>
      <c r="C18" s="1">
        <v>29970</v>
      </c>
      <c r="D18" s="1">
        <v>23409</v>
      </c>
      <c r="E18" s="1">
        <v>56023</v>
      </c>
    </row>
    <row r="19" spans="1:5" ht="15.75" x14ac:dyDescent="0.25">
      <c r="A19" s="3" t="s">
        <v>18</v>
      </c>
      <c r="B19" s="1">
        <v>26443</v>
      </c>
      <c r="C19" s="1">
        <v>20805</v>
      </c>
      <c r="D19" s="1">
        <v>42157</v>
      </c>
      <c r="E19" s="1">
        <v>40685</v>
      </c>
    </row>
    <row r="20" spans="1:5" ht="15.75" x14ac:dyDescent="0.25">
      <c r="A20" s="3" t="s">
        <v>19</v>
      </c>
      <c r="B20" s="1">
        <v>65325</v>
      </c>
      <c r="C20" s="1">
        <v>59137</v>
      </c>
      <c r="D20" s="1">
        <v>72521</v>
      </c>
      <c r="E20" s="1">
        <v>26005</v>
      </c>
    </row>
    <row r="21" spans="1:5" ht="15.75" x14ac:dyDescent="0.25">
      <c r="A21" s="3" t="s">
        <v>20</v>
      </c>
      <c r="B21" s="1">
        <v>51091</v>
      </c>
      <c r="C21" s="1">
        <v>74125</v>
      </c>
      <c r="D21" s="1">
        <v>59968</v>
      </c>
      <c r="E21" s="1">
        <v>55047</v>
      </c>
    </row>
    <row r="22" spans="1:5" ht="15.75" x14ac:dyDescent="0.25">
      <c r="A22" s="3" t="s">
        <v>21</v>
      </c>
      <c r="B22" s="1">
        <v>48143</v>
      </c>
      <c r="C22" s="1">
        <v>35767</v>
      </c>
      <c r="D22" s="1">
        <v>59798</v>
      </c>
      <c r="E22" s="1">
        <v>33052</v>
      </c>
    </row>
    <row r="23" spans="1:5" ht="15.75" x14ac:dyDescent="0.25">
      <c r="A23" s="3" t="s">
        <v>22</v>
      </c>
      <c r="B23" s="1">
        <v>76213</v>
      </c>
      <c r="C23" s="1">
        <v>79791</v>
      </c>
      <c r="D23" s="1">
        <v>38017</v>
      </c>
      <c r="E23" s="1">
        <v>58559</v>
      </c>
    </row>
    <row r="24" spans="1:5" ht="15.75" x14ac:dyDescent="0.25">
      <c r="A24" s="3" t="s">
        <v>23</v>
      </c>
      <c r="B24" s="1">
        <v>79587</v>
      </c>
      <c r="C24" s="1">
        <v>32114</v>
      </c>
      <c r="D24" s="1">
        <v>53385</v>
      </c>
      <c r="E24" s="1">
        <v>24065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7664-FABC-4E20-81DB-2597E4409924}">
  <dimension ref="A2:I21"/>
  <sheetViews>
    <sheetView topLeftCell="D19" zoomScale="86" zoomScaleNormal="86" workbookViewId="0">
      <selection activeCell="T24" sqref="T24"/>
    </sheetView>
  </sheetViews>
  <sheetFormatPr defaultColWidth="8.7109375" defaultRowHeight="15" x14ac:dyDescent="0.25"/>
  <cols>
    <col min="1" max="1" width="16.28515625" bestFit="1" customWidth="1"/>
    <col min="2" max="2" width="12.42578125" bestFit="1" customWidth="1"/>
    <col min="3" max="3" width="8.85546875" bestFit="1" customWidth="1"/>
    <col min="4" max="4" width="8.42578125" bestFit="1" customWidth="1"/>
    <col min="5" max="5" width="10.85546875" bestFit="1" customWidth="1"/>
    <col min="6" max="6" width="11.28515625" bestFit="1" customWidth="1"/>
    <col min="7" max="7" width="9.7109375" bestFit="1" customWidth="1"/>
    <col min="8" max="8" width="12.7109375" bestFit="1" customWidth="1"/>
    <col min="9" max="9" width="6.140625" bestFit="1" customWidth="1"/>
  </cols>
  <sheetData>
    <row r="2" spans="1:6" ht="15.75" x14ac:dyDescent="0.25">
      <c r="A2" s="2"/>
      <c r="B2" s="60" t="s">
        <v>0</v>
      </c>
      <c r="C2" s="60"/>
      <c r="D2" s="60"/>
      <c r="E2" s="60"/>
      <c r="F2" s="60"/>
    </row>
    <row r="3" spans="1:6" ht="15.75" x14ac:dyDescent="0.25">
      <c r="A3" s="4" t="s">
        <v>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</row>
    <row r="4" spans="1:6" ht="15.75" x14ac:dyDescent="0.25">
      <c r="A4" s="3" t="s">
        <v>3</v>
      </c>
      <c r="B4" s="1">
        <v>40305</v>
      </c>
      <c r="C4" s="1">
        <v>67484</v>
      </c>
      <c r="D4" s="1">
        <v>50056</v>
      </c>
      <c r="E4" s="1">
        <v>75671</v>
      </c>
      <c r="F4" s="1">
        <f>SUM(B4:E4)</f>
        <v>233516</v>
      </c>
    </row>
    <row r="5" spans="1:6" ht="15.75" x14ac:dyDescent="0.25">
      <c r="A5" s="3" t="s">
        <v>4</v>
      </c>
      <c r="B5" s="1">
        <v>69573</v>
      </c>
      <c r="C5" s="1">
        <v>69407</v>
      </c>
      <c r="D5" s="1">
        <v>57397</v>
      </c>
      <c r="E5" s="1">
        <v>28812</v>
      </c>
      <c r="F5" s="1">
        <f t="shared" ref="F5:F8" si="0">SUM(B5:E5)</f>
        <v>225189</v>
      </c>
    </row>
    <row r="6" spans="1:6" ht="15.75" x14ac:dyDescent="0.25">
      <c r="A6" s="3" t="s">
        <v>5</v>
      </c>
      <c r="B6" s="1">
        <v>20971</v>
      </c>
      <c r="C6" s="1">
        <v>68330</v>
      </c>
      <c r="D6" s="1">
        <v>27650</v>
      </c>
      <c r="E6" s="1">
        <v>31130</v>
      </c>
      <c r="F6" s="1">
        <f t="shared" si="0"/>
        <v>148081</v>
      </c>
    </row>
    <row r="7" spans="1:6" ht="15.75" x14ac:dyDescent="0.25">
      <c r="A7" s="3" t="s">
        <v>6</v>
      </c>
      <c r="B7" s="1">
        <v>68498</v>
      </c>
      <c r="C7" s="1">
        <v>30649</v>
      </c>
      <c r="D7" s="1">
        <v>78338</v>
      </c>
      <c r="E7" s="1">
        <v>69697</v>
      </c>
      <c r="F7" s="1">
        <f t="shared" si="0"/>
        <v>247182</v>
      </c>
    </row>
    <row r="8" spans="1:6" ht="15.75" x14ac:dyDescent="0.25">
      <c r="A8" s="3" t="s">
        <v>7</v>
      </c>
      <c r="B8" s="1">
        <v>26401</v>
      </c>
      <c r="C8" s="1">
        <v>23800</v>
      </c>
      <c r="D8" s="1">
        <v>55047</v>
      </c>
      <c r="E8" s="1">
        <v>74656</v>
      </c>
      <c r="F8" s="1">
        <f t="shared" si="0"/>
        <v>179904</v>
      </c>
    </row>
    <row r="9" spans="1:6" ht="15.75" x14ac:dyDescent="0.25">
      <c r="A9" s="4" t="s">
        <v>29</v>
      </c>
      <c r="B9" s="1">
        <f>SUM(B4:B8)</f>
        <v>225748</v>
      </c>
      <c r="C9" s="1">
        <f t="shared" ref="C9:E9" si="1">SUM(C4:C8)</f>
        <v>259670</v>
      </c>
      <c r="D9" s="1">
        <f t="shared" si="1"/>
        <v>268488</v>
      </c>
      <c r="E9" s="1">
        <f t="shared" si="1"/>
        <v>279966</v>
      </c>
      <c r="F9" s="1">
        <f>SUM(F4:F8)</f>
        <v>1033872</v>
      </c>
    </row>
    <row r="15" spans="1:6" ht="15.75" x14ac:dyDescent="0.25">
      <c r="A15" s="4" t="s">
        <v>1</v>
      </c>
      <c r="B15" s="4" t="s">
        <v>24</v>
      </c>
      <c r="C15" s="4" t="s">
        <v>25</v>
      </c>
      <c r="D15" s="4" t="s">
        <v>26</v>
      </c>
      <c r="E15" s="4" t="s">
        <v>27</v>
      </c>
    </row>
    <row r="16" spans="1:6" ht="15.75" x14ac:dyDescent="0.25">
      <c r="A16" s="3" t="s">
        <v>3</v>
      </c>
      <c r="B16" s="1">
        <v>5000</v>
      </c>
      <c r="C16" s="1">
        <v>5000</v>
      </c>
      <c r="D16" s="1">
        <v>50056</v>
      </c>
      <c r="E16" s="1">
        <v>75671</v>
      </c>
    </row>
    <row r="18" spans="1:9" x14ac:dyDescent="0.25">
      <c r="A18" s="6"/>
      <c r="B18" s="6"/>
    </row>
    <row r="19" spans="1:9" x14ac:dyDescent="0.25">
      <c r="A19" s="56"/>
      <c r="B19" s="56" t="s">
        <v>147</v>
      </c>
      <c r="C19" s="56" t="s">
        <v>154</v>
      </c>
      <c r="D19" s="56" t="s">
        <v>148</v>
      </c>
      <c r="E19" s="56" t="s">
        <v>153</v>
      </c>
      <c r="F19" s="56" t="s">
        <v>149</v>
      </c>
      <c r="G19" s="56" t="s">
        <v>150</v>
      </c>
      <c r="H19" s="56" t="s">
        <v>151</v>
      </c>
      <c r="I19" s="56" t="s">
        <v>152</v>
      </c>
    </row>
    <row r="20" spans="1:9" x14ac:dyDescent="0.25">
      <c r="A20" s="56" t="s">
        <v>146</v>
      </c>
      <c r="B20" s="56">
        <v>9500</v>
      </c>
      <c r="C20" s="56">
        <v>5000</v>
      </c>
      <c r="D20" s="56">
        <v>3500</v>
      </c>
      <c r="E20" s="56">
        <v>1700</v>
      </c>
      <c r="F20" s="56">
        <v>300</v>
      </c>
      <c r="G20" s="56">
        <v>120</v>
      </c>
      <c r="H20" s="56">
        <v>80</v>
      </c>
      <c r="I20" s="56">
        <v>50</v>
      </c>
    </row>
    <row r="21" spans="1:9" x14ac:dyDescent="0.25">
      <c r="A21">
        <v>20250</v>
      </c>
    </row>
  </sheetData>
  <mergeCells count="1">
    <mergeCell ref="B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5172-FC9C-423C-ADC5-84B96817C763}">
  <dimension ref="A1:F9"/>
  <sheetViews>
    <sheetView zoomScale="75" zoomScaleNormal="75" workbookViewId="0">
      <selection activeCell="R24" sqref="R24"/>
    </sheetView>
  </sheetViews>
  <sheetFormatPr defaultColWidth="8.7109375" defaultRowHeight="15" x14ac:dyDescent="0.25"/>
  <cols>
    <col min="2" max="2" width="17.7109375" bestFit="1" customWidth="1"/>
    <col min="3" max="6" width="7.7109375" bestFit="1" customWidth="1"/>
  </cols>
  <sheetData>
    <row r="1" spans="1:6" ht="17.25" x14ac:dyDescent="0.3">
      <c r="A1" s="5"/>
    </row>
    <row r="2" spans="1:6" ht="15.75" x14ac:dyDescent="0.25">
      <c r="B2" s="2"/>
      <c r="C2" s="60" t="s">
        <v>0</v>
      </c>
      <c r="D2" s="60"/>
      <c r="E2" s="60"/>
      <c r="F2" s="60"/>
    </row>
    <row r="3" spans="1:6" ht="15.75" x14ac:dyDescent="0.25">
      <c r="B3" s="4" t="s">
        <v>1</v>
      </c>
      <c r="C3" s="4" t="s">
        <v>24</v>
      </c>
      <c r="D3" s="4" t="s">
        <v>25</v>
      </c>
      <c r="E3" s="4" t="s">
        <v>26</v>
      </c>
      <c r="F3" s="4" t="s">
        <v>27</v>
      </c>
    </row>
    <row r="4" spans="1:6" ht="15.75" x14ac:dyDescent="0.25">
      <c r="B4" s="3" t="s">
        <v>3</v>
      </c>
      <c r="C4" s="1">
        <v>40305</v>
      </c>
      <c r="D4" s="1">
        <v>67484</v>
      </c>
      <c r="E4" s="1">
        <v>50056</v>
      </c>
      <c r="F4" s="1">
        <v>75671</v>
      </c>
    </row>
    <row r="5" spans="1:6" ht="15.75" x14ac:dyDescent="0.25">
      <c r="B5" s="3" t="s">
        <v>4</v>
      </c>
      <c r="C5" s="1">
        <v>69573</v>
      </c>
      <c r="D5" s="1">
        <v>69407</v>
      </c>
      <c r="E5" s="1">
        <v>57397</v>
      </c>
      <c r="F5" s="1">
        <v>28812</v>
      </c>
    </row>
    <row r="6" spans="1:6" ht="15.75" x14ac:dyDescent="0.25">
      <c r="B6" s="3" t="s">
        <v>5</v>
      </c>
      <c r="C6" s="1">
        <v>20971</v>
      </c>
      <c r="D6" s="1">
        <v>68330</v>
      </c>
      <c r="E6" s="1">
        <v>27650</v>
      </c>
      <c r="F6" s="1">
        <v>31130</v>
      </c>
    </row>
    <row r="7" spans="1:6" ht="15.75" x14ac:dyDescent="0.25">
      <c r="B7" s="3" t="s">
        <v>6</v>
      </c>
      <c r="C7" s="1">
        <v>68498</v>
      </c>
      <c r="D7" s="1">
        <v>30649</v>
      </c>
      <c r="E7" s="1">
        <v>78338</v>
      </c>
      <c r="F7" s="1">
        <v>69697</v>
      </c>
    </row>
    <row r="8" spans="1:6" ht="15.75" x14ac:dyDescent="0.25">
      <c r="B8" s="3" t="s">
        <v>7</v>
      </c>
      <c r="C8" s="1">
        <v>26401</v>
      </c>
      <c r="D8" s="1">
        <v>23800</v>
      </c>
      <c r="E8" s="1">
        <v>55047</v>
      </c>
      <c r="F8" s="1">
        <v>74656</v>
      </c>
    </row>
    <row r="9" spans="1:6" ht="15.75" x14ac:dyDescent="0.25">
      <c r="B9" s="4" t="s">
        <v>29</v>
      </c>
      <c r="C9" s="1">
        <f>SUM(C4:C8)</f>
        <v>225748</v>
      </c>
      <c r="D9" s="1">
        <f t="shared" ref="D9:F9" si="0">SUM(D4:D8)</f>
        <v>259670</v>
      </c>
      <c r="E9" s="1">
        <f t="shared" si="0"/>
        <v>268488</v>
      </c>
      <c r="F9" s="1">
        <f t="shared" si="0"/>
        <v>279966</v>
      </c>
    </row>
  </sheetData>
  <mergeCells count="1">
    <mergeCell ref="C2:F2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569C-F1FC-D54D-8B13-DE723F2DF13C}">
  <dimension ref="A2:C28"/>
  <sheetViews>
    <sheetView zoomScale="73" zoomScaleNormal="73" workbookViewId="0">
      <selection activeCell="O13" sqref="O13"/>
    </sheetView>
  </sheetViews>
  <sheetFormatPr defaultColWidth="11.5703125" defaultRowHeight="15" x14ac:dyDescent="0.25"/>
  <cols>
    <col min="1" max="1" width="17" bestFit="1" customWidth="1"/>
    <col min="2" max="2" width="18.140625" bestFit="1" customWidth="1"/>
    <col min="3" max="3" width="8.28515625" bestFit="1" customWidth="1"/>
  </cols>
  <sheetData>
    <row r="2" spans="1:3" ht="15.75" x14ac:dyDescent="0.25">
      <c r="A2" s="8" t="s">
        <v>31</v>
      </c>
    </row>
    <row r="3" spans="1:3" ht="15.75" x14ac:dyDescent="0.25">
      <c r="A3" s="8" t="s">
        <v>1</v>
      </c>
      <c r="B3" s="8" t="s">
        <v>32</v>
      </c>
      <c r="C3" s="8" t="s">
        <v>33</v>
      </c>
    </row>
    <row r="4" spans="1:3" ht="15.75" x14ac:dyDescent="0.25">
      <c r="A4" s="8" t="s">
        <v>3</v>
      </c>
      <c r="B4" s="9">
        <v>25000</v>
      </c>
      <c r="C4" s="9">
        <v>40305</v>
      </c>
    </row>
    <row r="5" spans="1:3" ht="15.75" x14ac:dyDescent="0.25">
      <c r="A5" s="8" t="s">
        <v>4</v>
      </c>
      <c r="B5" s="9">
        <v>30000</v>
      </c>
      <c r="C5" s="9">
        <v>69573</v>
      </c>
    </row>
    <row r="6" spans="1:3" ht="15.75" x14ac:dyDescent="0.25">
      <c r="A6" s="8" t="s">
        <v>5</v>
      </c>
      <c r="B6" s="9">
        <v>8000</v>
      </c>
      <c r="C6" s="9">
        <v>20971</v>
      </c>
    </row>
    <row r="7" spans="1:3" ht="15.75" x14ac:dyDescent="0.25">
      <c r="A7" s="8" t="s">
        <v>6</v>
      </c>
      <c r="B7" s="9">
        <v>30000</v>
      </c>
      <c r="C7" s="9">
        <v>68498</v>
      </c>
    </row>
    <row r="8" spans="1:3" ht="15.75" x14ac:dyDescent="0.25">
      <c r="A8" s="8" t="s">
        <v>7</v>
      </c>
      <c r="B8" s="9">
        <v>5000</v>
      </c>
      <c r="C8" s="9">
        <v>26401</v>
      </c>
    </row>
    <row r="9" spans="1:3" ht="15.75" x14ac:dyDescent="0.25">
      <c r="A9" s="8" t="s">
        <v>8</v>
      </c>
      <c r="B9" s="9">
        <v>5000</v>
      </c>
      <c r="C9" s="9">
        <v>22525</v>
      </c>
    </row>
    <row r="10" spans="1:3" ht="15.75" x14ac:dyDescent="0.25">
      <c r="A10" s="8" t="s">
        <v>9</v>
      </c>
      <c r="B10" s="9">
        <v>40000</v>
      </c>
      <c r="C10" s="9">
        <v>73199</v>
      </c>
    </row>
    <row r="11" spans="1:3" ht="15.75" x14ac:dyDescent="0.25">
      <c r="A11" s="8" t="s">
        <v>10</v>
      </c>
      <c r="B11" s="9">
        <v>35000</v>
      </c>
      <c r="C11" s="9">
        <v>69934</v>
      </c>
    </row>
    <row r="12" spans="1:3" ht="15.75" x14ac:dyDescent="0.25">
      <c r="A12" s="8" t="s">
        <v>11</v>
      </c>
      <c r="B12" s="9">
        <v>25000</v>
      </c>
      <c r="C12" s="9">
        <v>58976</v>
      </c>
    </row>
    <row r="13" spans="1:3" ht="15.75" x14ac:dyDescent="0.25">
      <c r="A13" s="8" t="s">
        <v>12</v>
      </c>
      <c r="B13" s="9">
        <v>35000</v>
      </c>
      <c r="C13" s="9">
        <v>75806</v>
      </c>
    </row>
    <row r="14" spans="1:3" x14ac:dyDescent="0.25">
      <c r="B14">
        <f>CORREL(B4:B13,C4:C13)</f>
        <v>0.95348485830227847</v>
      </c>
      <c r="C14">
        <f>CORREL(B3:B13,C3:C13)</f>
        <v>0.95348485830227847</v>
      </c>
    </row>
    <row r="17" spans="1:3" ht="15.75" x14ac:dyDescent="0.25">
      <c r="A17" s="8" t="s">
        <v>31</v>
      </c>
    </row>
    <row r="18" spans="1:3" ht="15.75" x14ac:dyDescent="0.25">
      <c r="A18" s="8" t="s">
        <v>1</v>
      </c>
      <c r="B18" s="8" t="s">
        <v>32</v>
      </c>
      <c r="C18" s="8" t="s">
        <v>33</v>
      </c>
    </row>
    <row r="19" spans="1:3" ht="15.75" x14ac:dyDescent="0.25">
      <c r="A19" s="8" t="s">
        <v>3</v>
      </c>
    </row>
    <row r="20" spans="1:3" ht="15.75" x14ac:dyDescent="0.25">
      <c r="A20" s="8" t="s">
        <v>4</v>
      </c>
    </row>
    <row r="21" spans="1:3" ht="15.75" x14ac:dyDescent="0.25">
      <c r="A21" s="8" t="s">
        <v>5</v>
      </c>
    </row>
    <row r="22" spans="1:3" ht="15.75" x14ac:dyDescent="0.25">
      <c r="A22" s="8" t="s">
        <v>6</v>
      </c>
    </row>
    <row r="23" spans="1:3" ht="15.75" x14ac:dyDescent="0.25">
      <c r="A23" s="8" t="s">
        <v>7</v>
      </c>
    </row>
    <row r="24" spans="1:3" ht="15.75" x14ac:dyDescent="0.25">
      <c r="A24" s="8" t="s">
        <v>8</v>
      </c>
    </row>
    <row r="25" spans="1:3" ht="15.75" x14ac:dyDescent="0.25">
      <c r="A25" s="8" t="s">
        <v>9</v>
      </c>
    </row>
    <row r="26" spans="1:3" ht="15.75" x14ac:dyDescent="0.25">
      <c r="A26" s="8" t="s">
        <v>10</v>
      </c>
    </row>
    <row r="27" spans="1:3" ht="15.75" x14ac:dyDescent="0.25">
      <c r="A27" s="8" t="s">
        <v>11</v>
      </c>
    </row>
    <row r="28" spans="1:3" ht="15.75" x14ac:dyDescent="0.25">
      <c r="A28" s="8" t="s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465E-72FF-E042-ACC7-3F075A0A649F}">
  <dimension ref="A1:D13"/>
  <sheetViews>
    <sheetView zoomScale="66" zoomScaleNormal="66" workbookViewId="0">
      <selection activeCell="R27" sqref="R27"/>
    </sheetView>
  </sheetViews>
  <sheetFormatPr defaultColWidth="11.5703125" defaultRowHeight="15" x14ac:dyDescent="0.25"/>
  <cols>
    <col min="1" max="1" width="15.7109375" bestFit="1" customWidth="1"/>
    <col min="2" max="2" width="9.42578125" bestFit="1" customWidth="1"/>
    <col min="3" max="3" width="9.140625" bestFit="1" customWidth="1"/>
    <col min="4" max="4" width="10.7109375" bestFit="1" customWidth="1"/>
  </cols>
  <sheetData>
    <row r="1" spans="1:4" ht="15.75" x14ac:dyDescent="0.25">
      <c r="A1" s="7"/>
      <c r="B1" s="7"/>
      <c r="C1" s="7"/>
      <c r="D1" s="7"/>
    </row>
    <row r="2" spans="1:4" ht="15.75" x14ac:dyDescent="0.25">
      <c r="A2" s="61" t="s">
        <v>34</v>
      </c>
      <c r="B2" s="61"/>
      <c r="C2" s="61"/>
      <c r="D2" s="61"/>
    </row>
    <row r="3" spans="1:4" ht="31.5" x14ac:dyDescent="0.25">
      <c r="A3" s="11" t="s">
        <v>1</v>
      </c>
      <c r="B3" s="11" t="s">
        <v>35</v>
      </c>
      <c r="C3" s="11" t="s">
        <v>33</v>
      </c>
      <c r="D3" s="11" t="s">
        <v>36</v>
      </c>
    </row>
    <row r="4" spans="1:4" ht="15.75" x14ac:dyDescent="0.25">
      <c r="A4" s="12" t="s">
        <v>5</v>
      </c>
      <c r="B4" s="13">
        <v>8000</v>
      </c>
      <c r="C4" s="14">
        <v>20971</v>
      </c>
      <c r="D4" s="15">
        <f t="shared" ref="D4:D13" si="0">(C4-B4)/B4</f>
        <v>1.621375</v>
      </c>
    </row>
    <row r="5" spans="1:4" ht="15.75" x14ac:dyDescent="0.25">
      <c r="A5" s="12" t="s">
        <v>8</v>
      </c>
      <c r="B5" s="13">
        <v>5000</v>
      </c>
      <c r="C5" s="14">
        <v>22525</v>
      </c>
      <c r="D5" s="15">
        <f t="shared" si="0"/>
        <v>3.5049999999999999</v>
      </c>
    </row>
    <row r="6" spans="1:4" ht="15.75" x14ac:dyDescent="0.25">
      <c r="A6" s="12" t="s">
        <v>7</v>
      </c>
      <c r="B6" s="13">
        <v>5000</v>
      </c>
      <c r="C6" s="14">
        <v>26401</v>
      </c>
      <c r="D6" s="15">
        <f t="shared" si="0"/>
        <v>4.2801999999999998</v>
      </c>
    </row>
    <row r="7" spans="1:4" ht="15.75" x14ac:dyDescent="0.25">
      <c r="A7" s="12" t="s">
        <v>3</v>
      </c>
      <c r="B7" s="13">
        <v>25000</v>
      </c>
      <c r="C7" s="14">
        <v>40305</v>
      </c>
      <c r="D7" s="15">
        <f t="shared" si="0"/>
        <v>0.61219999999999997</v>
      </c>
    </row>
    <row r="8" spans="1:4" ht="15.75" x14ac:dyDescent="0.25">
      <c r="A8" s="12" t="s">
        <v>11</v>
      </c>
      <c r="B8" s="13">
        <v>25000</v>
      </c>
      <c r="C8" s="14">
        <v>58976</v>
      </c>
      <c r="D8" s="15">
        <f t="shared" si="0"/>
        <v>1.35904</v>
      </c>
    </row>
    <row r="9" spans="1:4" ht="15.75" x14ac:dyDescent="0.25">
      <c r="A9" s="12" t="s">
        <v>6</v>
      </c>
      <c r="B9" s="13">
        <v>30000</v>
      </c>
      <c r="C9" s="14">
        <v>68498</v>
      </c>
      <c r="D9" s="15">
        <f t="shared" si="0"/>
        <v>1.2832666666666668</v>
      </c>
    </row>
    <row r="10" spans="1:4" ht="15.75" x14ac:dyDescent="0.25">
      <c r="A10" s="12" t="s">
        <v>4</v>
      </c>
      <c r="B10" s="13">
        <v>30000</v>
      </c>
      <c r="C10" s="14">
        <v>69573</v>
      </c>
      <c r="D10" s="15">
        <f t="shared" si="0"/>
        <v>1.3190999999999999</v>
      </c>
    </row>
    <row r="11" spans="1:4" ht="15.75" x14ac:dyDescent="0.25">
      <c r="A11" s="12" t="s">
        <v>10</v>
      </c>
      <c r="B11" s="13">
        <v>35000</v>
      </c>
      <c r="C11" s="14">
        <v>69934</v>
      </c>
      <c r="D11" s="15">
        <f t="shared" si="0"/>
        <v>0.99811428571428573</v>
      </c>
    </row>
    <row r="12" spans="1:4" ht="15.75" x14ac:dyDescent="0.25">
      <c r="A12" s="12" t="s">
        <v>9</v>
      </c>
      <c r="B12" s="13">
        <v>40000</v>
      </c>
      <c r="C12" s="14">
        <v>73199</v>
      </c>
      <c r="D12" s="15">
        <f t="shared" si="0"/>
        <v>0.82997500000000002</v>
      </c>
    </row>
    <row r="13" spans="1:4" ht="15.75" x14ac:dyDescent="0.25">
      <c r="A13" s="12" t="s">
        <v>12</v>
      </c>
      <c r="B13" s="13">
        <v>35000</v>
      </c>
      <c r="C13" s="14">
        <v>75806</v>
      </c>
      <c r="D13" s="15">
        <f t="shared" si="0"/>
        <v>1.1658857142857142</v>
      </c>
    </row>
  </sheetData>
  <mergeCells count="1">
    <mergeCell ref="A2:D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2903-FAEB-7C4F-934A-A0B1D0785932}">
  <dimension ref="B2:D21"/>
  <sheetViews>
    <sheetView zoomScale="55" zoomScaleNormal="55" workbookViewId="0">
      <selection activeCell="O14" sqref="O14"/>
    </sheetView>
  </sheetViews>
  <sheetFormatPr defaultColWidth="11.5703125" defaultRowHeight="15" x14ac:dyDescent="0.25"/>
  <cols>
    <col min="2" max="2" width="15.7109375" bestFit="1" customWidth="1"/>
    <col min="3" max="3" width="10.42578125" bestFit="1" customWidth="1"/>
  </cols>
  <sheetData>
    <row r="2" spans="2:3" ht="15.75" x14ac:dyDescent="0.25">
      <c r="B2" s="11" t="s">
        <v>1</v>
      </c>
      <c r="C2" s="11" t="s">
        <v>33</v>
      </c>
    </row>
    <row r="3" spans="2:3" ht="15.75" x14ac:dyDescent="0.25">
      <c r="B3" s="12" t="s">
        <v>5</v>
      </c>
      <c r="C3" s="14">
        <v>20971</v>
      </c>
    </row>
    <row r="4" spans="2:3" ht="15.75" x14ac:dyDescent="0.25">
      <c r="B4" s="12" t="s">
        <v>8</v>
      </c>
      <c r="C4" s="14">
        <v>22525</v>
      </c>
    </row>
    <row r="5" spans="2:3" ht="15.75" x14ac:dyDescent="0.25">
      <c r="B5" s="12" t="s">
        <v>7</v>
      </c>
      <c r="C5" s="14">
        <v>26401</v>
      </c>
    </row>
    <row r="6" spans="2:3" ht="15.75" x14ac:dyDescent="0.25">
      <c r="B6" s="12" t="s">
        <v>3</v>
      </c>
      <c r="C6" s="14">
        <v>40305</v>
      </c>
    </row>
    <row r="7" spans="2:3" ht="15.75" x14ac:dyDescent="0.25">
      <c r="B7" s="12" t="s">
        <v>11</v>
      </c>
      <c r="C7" s="14">
        <v>58976</v>
      </c>
    </row>
    <row r="8" spans="2:3" ht="15.75" x14ac:dyDescent="0.25">
      <c r="B8" s="12" t="s">
        <v>6</v>
      </c>
      <c r="C8" s="14">
        <v>68498</v>
      </c>
    </row>
    <row r="9" spans="2:3" ht="15.75" x14ac:dyDescent="0.25">
      <c r="B9" s="12" t="s">
        <v>4</v>
      </c>
      <c r="C9" s="14">
        <v>69573</v>
      </c>
    </row>
    <row r="10" spans="2:3" ht="15.75" x14ac:dyDescent="0.25">
      <c r="B10" s="12" t="s">
        <v>10</v>
      </c>
      <c r="C10" s="14">
        <v>69934</v>
      </c>
    </row>
    <row r="11" spans="2:3" ht="15.75" x14ac:dyDescent="0.25">
      <c r="B11" s="12" t="s">
        <v>9</v>
      </c>
      <c r="C11" s="14">
        <v>73199</v>
      </c>
    </row>
    <row r="12" spans="2:3" ht="15.75" x14ac:dyDescent="0.25">
      <c r="B12" s="12" t="s">
        <v>12</v>
      </c>
      <c r="C12" s="14">
        <v>75806</v>
      </c>
    </row>
    <row r="16" spans="2:3" x14ac:dyDescent="0.25">
      <c r="B16" s="16" t="s">
        <v>37</v>
      </c>
      <c r="C16" s="17">
        <f>_xlfn.QUARTILE.INC(C3:C12,0)</f>
        <v>20971</v>
      </c>
    </row>
    <row r="17" spans="2:4" x14ac:dyDescent="0.25">
      <c r="B17" s="16" t="s">
        <v>38</v>
      </c>
      <c r="C17" s="17">
        <f>_xlfn.QUARTILE.INC(C3:C12,1)</f>
        <v>29877</v>
      </c>
      <c r="D17" s="18"/>
    </row>
    <row r="18" spans="2:4" x14ac:dyDescent="0.25">
      <c r="B18" s="16" t="s">
        <v>39</v>
      </c>
      <c r="C18" s="17">
        <f>_xlfn.QUARTILE.INC(C3:C12,2)</f>
        <v>63737</v>
      </c>
      <c r="D18" s="18"/>
    </row>
    <row r="19" spans="2:4" x14ac:dyDescent="0.25">
      <c r="B19" s="16" t="s">
        <v>40</v>
      </c>
      <c r="C19" s="17">
        <f>_xlfn.QUARTILE.INC($C$3:$C$12,3)</f>
        <v>69843.75</v>
      </c>
      <c r="D19" s="18"/>
    </row>
    <row r="20" spans="2:4" x14ac:dyDescent="0.25">
      <c r="B20" s="16" t="s">
        <v>41</v>
      </c>
      <c r="C20" s="17">
        <f>_xlfn.QUARTILE.INC(C3:C12,4)</f>
        <v>75806</v>
      </c>
      <c r="D20" s="18"/>
    </row>
    <row r="21" spans="2:4" x14ac:dyDescent="0.25">
      <c r="B21" s="16" t="s">
        <v>42</v>
      </c>
      <c r="C21" s="17">
        <f>AVERAGE(C3:C12)</f>
        <v>52618.8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1E57-77CE-404C-B3A3-EEDB12163C67}">
  <dimension ref="A1:C16"/>
  <sheetViews>
    <sheetView zoomScale="80" zoomScaleNormal="80" workbookViewId="0">
      <selection activeCell="S11" sqref="S11"/>
    </sheetView>
  </sheetViews>
  <sheetFormatPr defaultColWidth="8.7109375" defaultRowHeight="15" x14ac:dyDescent="0.25"/>
  <cols>
    <col min="1" max="1" width="21.42578125" bestFit="1" customWidth="1"/>
    <col min="2" max="2" width="10.42578125" bestFit="1" customWidth="1"/>
    <col min="3" max="3" width="13.7109375" bestFit="1" customWidth="1"/>
  </cols>
  <sheetData>
    <row r="1" spans="1:3" x14ac:dyDescent="0.25">
      <c r="A1" s="19" t="s">
        <v>1</v>
      </c>
      <c r="B1" s="19" t="s">
        <v>43</v>
      </c>
      <c r="C1" s="19" t="s">
        <v>44</v>
      </c>
    </row>
    <row r="2" spans="1:3" x14ac:dyDescent="0.25">
      <c r="A2" t="s">
        <v>45</v>
      </c>
      <c r="B2" t="s">
        <v>46</v>
      </c>
      <c r="C2">
        <v>12000</v>
      </c>
    </row>
    <row r="3" spans="1:3" x14ac:dyDescent="0.25">
      <c r="A3" t="s">
        <v>45</v>
      </c>
      <c r="B3" t="s">
        <v>47</v>
      </c>
      <c r="C3">
        <v>41039</v>
      </c>
    </row>
    <row r="4" spans="1:3" x14ac:dyDescent="0.25">
      <c r="A4" t="s">
        <v>45</v>
      </c>
      <c r="B4" t="s">
        <v>48</v>
      </c>
      <c r="C4">
        <v>18000</v>
      </c>
    </row>
    <row r="5" spans="1:3" x14ac:dyDescent="0.25">
      <c r="A5" t="s">
        <v>49</v>
      </c>
      <c r="B5" t="s">
        <v>46</v>
      </c>
      <c r="C5">
        <v>43385</v>
      </c>
    </row>
    <row r="6" spans="1:3" x14ac:dyDescent="0.25">
      <c r="A6" t="s">
        <v>49</v>
      </c>
      <c r="B6" t="s">
        <v>47</v>
      </c>
      <c r="C6">
        <v>25453</v>
      </c>
    </row>
    <row r="7" spans="1:3" x14ac:dyDescent="0.25">
      <c r="A7" t="s">
        <v>49</v>
      </c>
      <c r="B7" t="s">
        <v>48</v>
      </c>
      <c r="C7">
        <v>30067</v>
      </c>
    </row>
    <row r="8" spans="1:3" x14ac:dyDescent="0.25">
      <c r="A8" t="s">
        <v>50</v>
      </c>
      <c r="B8" t="s">
        <v>46</v>
      </c>
      <c r="C8">
        <v>28946</v>
      </c>
    </row>
    <row r="9" spans="1:3" x14ac:dyDescent="0.25">
      <c r="A9" t="s">
        <v>50</v>
      </c>
      <c r="B9" t="s">
        <v>47</v>
      </c>
      <c r="C9">
        <v>48533</v>
      </c>
    </row>
    <row r="10" spans="1:3" x14ac:dyDescent="0.25">
      <c r="A10" t="s">
        <v>50</v>
      </c>
      <c r="B10" t="s">
        <v>48</v>
      </c>
      <c r="C10">
        <v>37457</v>
      </c>
    </row>
    <row r="11" spans="1:3" x14ac:dyDescent="0.25">
      <c r="A11" t="s">
        <v>51</v>
      </c>
      <c r="B11" t="s">
        <v>46</v>
      </c>
      <c r="C11">
        <v>30411</v>
      </c>
    </row>
    <row r="12" spans="1:3" x14ac:dyDescent="0.25">
      <c r="A12" t="s">
        <v>51</v>
      </c>
      <c r="B12" t="s">
        <v>47</v>
      </c>
      <c r="C12">
        <v>31131</v>
      </c>
    </row>
    <row r="13" spans="1:3" x14ac:dyDescent="0.25">
      <c r="A13" t="s">
        <v>51</v>
      </c>
      <c r="B13" t="s">
        <v>48</v>
      </c>
      <c r="C13">
        <v>25214</v>
      </c>
    </row>
    <row r="14" spans="1:3" x14ac:dyDescent="0.25">
      <c r="A14" t="s">
        <v>52</v>
      </c>
      <c r="B14" t="s">
        <v>46</v>
      </c>
      <c r="C14">
        <v>30014</v>
      </c>
    </row>
    <row r="15" spans="1:3" x14ac:dyDescent="0.25">
      <c r="A15" t="s">
        <v>52</v>
      </c>
      <c r="B15" t="s">
        <v>47</v>
      </c>
      <c r="C15">
        <v>43616</v>
      </c>
    </row>
    <row r="16" spans="1:3" x14ac:dyDescent="0.25">
      <c r="A16" t="s">
        <v>52</v>
      </c>
      <c r="B16" t="s">
        <v>48</v>
      </c>
      <c r="C16">
        <v>43599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6CB4-97E1-AE4A-A877-F782209181AA}">
  <dimension ref="A2:C20"/>
  <sheetViews>
    <sheetView zoomScale="80" zoomScaleNormal="130" workbookViewId="0">
      <selection activeCell="P12" sqref="P12"/>
    </sheetView>
  </sheetViews>
  <sheetFormatPr defaultColWidth="12.42578125" defaultRowHeight="15.75" x14ac:dyDescent="0.25"/>
  <cols>
    <col min="1" max="1" width="17.7109375" style="7" bestFit="1" customWidth="1"/>
    <col min="2" max="2" width="17.7109375" style="7" customWidth="1"/>
    <col min="3" max="3" width="11.7109375" style="7" bestFit="1" customWidth="1"/>
    <col min="4" max="5" width="12.42578125" style="7"/>
    <col min="6" max="6" width="14" style="7" bestFit="1" customWidth="1"/>
    <col min="7" max="16384" width="12.42578125" style="7"/>
  </cols>
  <sheetData>
    <row r="2" spans="1:3" x14ac:dyDescent="0.25">
      <c r="A2" s="62" t="s">
        <v>53</v>
      </c>
      <c r="B2" s="63"/>
      <c r="C2" s="64"/>
    </row>
    <row r="3" spans="1:3" x14ac:dyDescent="0.25">
      <c r="A3" s="20" t="s">
        <v>54</v>
      </c>
      <c r="B3" s="21" t="s">
        <v>55</v>
      </c>
      <c r="C3" s="22" t="s">
        <v>56</v>
      </c>
    </row>
    <row r="4" spans="1:3" x14ac:dyDescent="0.25">
      <c r="A4" s="23">
        <v>44986</v>
      </c>
      <c r="B4" s="21" t="s">
        <v>57</v>
      </c>
      <c r="C4" s="14">
        <v>300000</v>
      </c>
    </row>
    <row r="5" spans="1:3" x14ac:dyDescent="0.25">
      <c r="A5" s="23">
        <v>44986</v>
      </c>
      <c r="B5" s="12" t="s">
        <v>58</v>
      </c>
      <c r="C5" s="14">
        <v>-50000</v>
      </c>
    </row>
    <row r="6" spans="1:3" x14ac:dyDescent="0.25">
      <c r="A6" s="23">
        <v>44987</v>
      </c>
      <c r="B6" s="12" t="s">
        <v>33</v>
      </c>
      <c r="C6" s="14">
        <v>20000</v>
      </c>
    </row>
    <row r="7" spans="1:3" x14ac:dyDescent="0.25">
      <c r="A7" s="23">
        <v>44988</v>
      </c>
      <c r="B7" s="12" t="s">
        <v>33</v>
      </c>
      <c r="C7" s="14">
        <v>20971</v>
      </c>
    </row>
    <row r="8" spans="1:3" x14ac:dyDescent="0.25">
      <c r="A8" s="23">
        <v>44989</v>
      </c>
      <c r="B8" s="12" t="s">
        <v>58</v>
      </c>
      <c r="C8" s="14">
        <v>-25000</v>
      </c>
    </row>
    <row r="9" spans="1:3" x14ac:dyDescent="0.25">
      <c r="A9" s="23">
        <v>44990</v>
      </c>
      <c r="B9" s="12" t="s">
        <v>33</v>
      </c>
      <c r="C9" s="14">
        <v>26401</v>
      </c>
    </row>
    <row r="10" spans="1:3" x14ac:dyDescent="0.25">
      <c r="A10" s="23">
        <v>44991</v>
      </c>
      <c r="B10" s="12" t="s">
        <v>33</v>
      </c>
      <c r="C10" s="14">
        <v>22525</v>
      </c>
    </row>
    <row r="11" spans="1:3" x14ac:dyDescent="0.25">
      <c r="A11" s="23">
        <v>44992</v>
      </c>
      <c r="B11" s="12" t="s">
        <v>33</v>
      </c>
      <c r="C11" s="14">
        <v>73199</v>
      </c>
    </row>
    <row r="12" spans="1:3" x14ac:dyDescent="0.25">
      <c r="A12" s="23">
        <v>44993</v>
      </c>
      <c r="B12" s="12" t="s">
        <v>58</v>
      </c>
      <c r="C12" s="14">
        <v>-65000</v>
      </c>
    </row>
    <row r="13" spans="1:3" x14ac:dyDescent="0.25">
      <c r="A13" s="23">
        <v>44994</v>
      </c>
      <c r="B13" s="12" t="s">
        <v>33</v>
      </c>
      <c r="C13" s="14">
        <v>58976</v>
      </c>
    </row>
    <row r="14" spans="1:3" x14ac:dyDescent="0.25">
      <c r="A14" s="23">
        <v>44995</v>
      </c>
      <c r="B14" s="12" t="s">
        <v>33</v>
      </c>
      <c r="C14" s="14">
        <v>89495</v>
      </c>
    </row>
    <row r="15" spans="1:3" x14ac:dyDescent="0.25">
      <c r="A15" s="23">
        <v>44996</v>
      </c>
      <c r="B15" s="12" t="s">
        <v>33</v>
      </c>
      <c r="C15" s="14">
        <v>86357</v>
      </c>
    </row>
    <row r="16" spans="1:3" x14ac:dyDescent="0.25">
      <c r="A16" s="23">
        <v>44997</v>
      </c>
      <c r="B16" s="12" t="s">
        <v>33</v>
      </c>
      <c r="C16" s="14">
        <v>82801</v>
      </c>
    </row>
    <row r="17" spans="1:3" x14ac:dyDescent="0.25">
      <c r="A17" s="23">
        <v>44998</v>
      </c>
      <c r="B17" s="12" t="s">
        <v>58</v>
      </c>
      <c r="C17" s="14">
        <v>-75806</v>
      </c>
    </row>
    <row r="18" spans="1:3" x14ac:dyDescent="0.25">
      <c r="A18" s="23">
        <v>44999</v>
      </c>
      <c r="B18" s="12" t="s">
        <v>33</v>
      </c>
      <c r="C18" s="14">
        <v>84073</v>
      </c>
    </row>
    <row r="19" spans="1:3" x14ac:dyDescent="0.25">
      <c r="A19" s="23">
        <v>45000</v>
      </c>
      <c r="B19" s="12" t="s">
        <v>33</v>
      </c>
      <c r="C19" s="14">
        <v>83831</v>
      </c>
    </row>
    <row r="20" spans="1:3" x14ac:dyDescent="0.25">
      <c r="A20" s="23">
        <v>45000</v>
      </c>
      <c r="B20" s="10" t="s">
        <v>59</v>
      </c>
      <c r="C20" s="14">
        <f>SUM(C4:C19)</f>
        <v>732823</v>
      </c>
    </row>
  </sheetData>
  <mergeCells count="1">
    <mergeCell ref="A2:C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28B2-D9FD-A14D-A856-4D34B2B714E5}">
  <dimension ref="B2:C7"/>
  <sheetViews>
    <sheetView zoomScale="82" zoomScaleNormal="82" workbookViewId="0">
      <selection activeCell="Q4" sqref="Q4"/>
    </sheetView>
  </sheetViews>
  <sheetFormatPr defaultColWidth="9.140625" defaultRowHeight="15.75" x14ac:dyDescent="0.25"/>
  <cols>
    <col min="1" max="1" width="9.140625" style="8"/>
    <col min="2" max="2" width="22.7109375" style="8" bestFit="1" customWidth="1"/>
    <col min="3" max="3" width="9" style="8" bestFit="1" customWidth="1"/>
    <col min="4" max="16384" width="9.140625" style="8"/>
  </cols>
  <sheetData>
    <row r="2" spans="2:3" x14ac:dyDescent="0.25">
      <c r="B2" s="8" t="s">
        <v>60</v>
      </c>
      <c r="C2" s="12" t="s">
        <v>61</v>
      </c>
    </row>
    <row r="3" spans="2:3" x14ac:dyDescent="0.25">
      <c r="B3" s="12" t="s">
        <v>62</v>
      </c>
      <c r="C3" s="24">
        <v>1000</v>
      </c>
    </row>
    <row r="4" spans="2:3" x14ac:dyDescent="0.25">
      <c r="B4" s="12" t="s">
        <v>63</v>
      </c>
      <c r="C4" s="24">
        <v>800</v>
      </c>
    </row>
    <row r="5" spans="2:3" x14ac:dyDescent="0.25">
      <c r="B5" s="12" t="s">
        <v>64</v>
      </c>
      <c r="C5" s="24">
        <v>300</v>
      </c>
    </row>
    <row r="6" spans="2:3" x14ac:dyDescent="0.25">
      <c r="B6" s="12" t="s">
        <v>65</v>
      </c>
      <c r="C6" s="24">
        <v>120</v>
      </c>
    </row>
    <row r="7" spans="2:3" x14ac:dyDescent="0.25">
      <c r="B7" s="12" t="s">
        <v>66</v>
      </c>
      <c r="C7" s="24">
        <v>80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D6CA-0AE7-3142-B79D-7316FC316B7D}">
  <dimension ref="B2:E38"/>
  <sheetViews>
    <sheetView topLeftCell="A17" zoomScale="88" workbookViewId="0">
      <selection activeCell="D31" sqref="D31"/>
    </sheetView>
  </sheetViews>
  <sheetFormatPr defaultColWidth="8.7109375" defaultRowHeight="15" x14ac:dyDescent="0.25"/>
  <cols>
    <col min="2" max="5" width="15.42578125" style="26" customWidth="1"/>
  </cols>
  <sheetData>
    <row r="2" spans="2:5" x14ac:dyDescent="0.25">
      <c r="B2" s="25" t="s">
        <v>1</v>
      </c>
      <c r="C2" s="25" t="s">
        <v>43</v>
      </c>
      <c r="D2" s="25" t="s">
        <v>67</v>
      </c>
      <c r="E2" s="25" t="s">
        <v>33</v>
      </c>
    </row>
    <row r="3" spans="2:5" x14ac:dyDescent="0.25">
      <c r="B3" s="26" t="s">
        <v>52</v>
      </c>
      <c r="C3" s="26" t="s">
        <v>72</v>
      </c>
      <c r="D3" s="26" t="s">
        <v>79</v>
      </c>
      <c r="E3" s="26">
        <v>250</v>
      </c>
    </row>
    <row r="4" spans="2:5" x14ac:dyDescent="0.25">
      <c r="B4" s="26" t="s">
        <v>52</v>
      </c>
      <c r="C4" s="26" t="s">
        <v>72</v>
      </c>
      <c r="D4" s="26" t="s">
        <v>85</v>
      </c>
      <c r="E4" s="26">
        <v>306</v>
      </c>
    </row>
    <row r="5" spans="2:5" x14ac:dyDescent="0.25">
      <c r="B5" s="26" t="s">
        <v>52</v>
      </c>
      <c r="C5" s="26" t="s">
        <v>70</v>
      </c>
      <c r="D5" s="26" t="s">
        <v>71</v>
      </c>
      <c r="E5" s="26">
        <v>560</v>
      </c>
    </row>
    <row r="6" spans="2:5" x14ac:dyDescent="0.25">
      <c r="B6" s="26" t="s">
        <v>52</v>
      </c>
      <c r="C6" s="26" t="s">
        <v>70</v>
      </c>
      <c r="D6" s="26" t="s">
        <v>74</v>
      </c>
      <c r="E6" s="26">
        <v>256</v>
      </c>
    </row>
    <row r="7" spans="2:5" x14ac:dyDescent="0.25">
      <c r="B7" s="26" t="s">
        <v>52</v>
      </c>
      <c r="C7" s="26" t="s">
        <v>70</v>
      </c>
      <c r="D7" s="26" t="s">
        <v>75</v>
      </c>
      <c r="E7" s="26">
        <v>226</v>
      </c>
    </row>
    <row r="8" spans="2:5" x14ac:dyDescent="0.25">
      <c r="B8" s="26" t="s">
        <v>68</v>
      </c>
      <c r="C8" s="26" t="s">
        <v>72</v>
      </c>
      <c r="D8" s="26" t="s">
        <v>73</v>
      </c>
      <c r="E8" s="26">
        <v>205</v>
      </c>
    </row>
    <row r="9" spans="2:5" x14ac:dyDescent="0.25">
      <c r="B9" s="26" t="s">
        <v>68</v>
      </c>
      <c r="C9" s="26" t="s">
        <v>72</v>
      </c>
      <c r="D9" s="26" t="s">
        <v>84</v>
      </c>
      <c r="E9" s="26">
        <v>439</v>
      </c>
    </row>
    <row r="10" spans="2:5" x14ac:dyDescent="0.25">
      <c r="B10" s="26" t="s">
        <v>68</v>
      </c>
      <c r="C10" s="26" t="s">
        <v>47</v>
      </c>
      <c r="D10" s="26" t="s">
        <v>69</v>
      </c>
      <c r="E10" s="26">
        <v>139</v>
      </c>
    </row>
    <row r="11" spans="2:5" x14ac:dyDescent="0.25">
      <c r="B11" s="26" t="s">
        <v>68</v>
      </c>
      <c r="C11" s="26" t="s">
        <v>47</v>
      </c>
      <c r="D11" s="26" t="s">
        <v>87</v>
      </c>
      <c r="E11" s="26">
        <v>154</v>
      </c>
    </row>
    <row r="12" spans="2:5" x14ac:dyDescent="0.25">
      <c r="B12" s="26" t="s">
        <v>76</v>
      </c>
      <c r="C12" s="26" t="s">
        <v>72</v>
      </c>
      <c r="D12" s="26" t="s">
        <v>78</v>
      </c>
      <c r="E12" s="26">
        <v>140</v>
      </c>
    </row>
    <row r="13" spans="2:5" x14ac:dyDescent="0.25">
      <c r="B13" s="26" t="s">
        <v>76</v>
      </c>
      <c r="C13" s="26" t="s">
        <v>72</v>
      </c>
      <c r="D13" s="26" t="s">
        <v>80</v>
      </c>
      <c r="E13" s="26">
        <v>431</v>
      </c>
    </row>
    <row r="14" spans="2:5" x14ac:dyDescent="0.25">
      <c r="B14" s="26" t="s">
        <v>76</v>
      </c>
      <c r="C14" s="26" t="s">
        <v>72</v>
      </c>
      <c r="D14" s="26" t="s">
        <v>82</v>
      </c>
      <c r="E14" s="26">
        <v>423</v>
      </c>
    </row>
    <row r="15" spans="2:5" x14ac:dyDescent="0.25">
      <c r="B15" s="26" t="s">
        <v>76</v>
      </c>
      <c r="C15" s="26" t="s">
        <v>47</v>
      </c>
      <c r="D15" s="26" t="s">
        <v>81</v>
      </c>
      <c r="E15" s="26">
        <v>477</v>
      </c>
    </row>
    <row r="16" spans="2:5" x14ac:dyDescent="0.25">
      <c r="B16" s="26" t="s">
        <v>76</v>
      </c>
      <c r="C16" s="26" t="s">
        <v>47</v>
      </c>
      <c r="D16" s="26" t="s">
        <v>83</v>
      </c>
      <c r="E16" s="26">
        <v>493</v>
      </c>
    </row>
    <row r="17" spans="2:5" x14ac:dyDescent="0.25">
      <c r="B17" s="26" t="s">
        <v>76</v>
      </c>
      <c r="C17" s="26" t="s">
        <v>47</v>
      </c>
      <c r="D17" s="26" t="s">
        <v>8</v>
      </c>
      <c r="E17" s="26">
        <v>294</v>
      </c>
    </row>
    <row r="18" spans="2:5" x14ac:dyDescent="0.25">
      <c r="B18" s="26" t="s">
        <v>76</v>
      </c>
      <c r="C18" s="26" t="s">
        <v>47</v>
      </c>
      <c r="D18" s="26" t="s">
        <v>88</v>
      </c>
      <c r="E18" s="26">
        <v>243</v>
      </c>
    </row>
    <row r="19" spans="2:5" x14ac:dyDescent="0.25">
      <c r="B19" s="26" t="s">
        <v>76</v>
      </c>
      <c r="C19" s="26" t="s">
        <v>70</v>
      </c>
      <c r="D19" s="26" t="s">
        <v>77</v>
      </c>
      <c r="E19" s="26">
        <v>453</v>
      </c>
    </row>
    <row r="20" spans="2:5" x14ac:dyDescent="0.25">
      <c r="B20" s="26" t="s">
        <v>76</v>
      </c>
      <c r="C20" s="26" t="s">
        <v>70</v>
      </c>
      <c r="D20" s="26" t="s">
        <v>86</v>
      </c>
      <c r="E20" s="26">
        <v>231</v>
      </c>
    </row>
    <row r="23" spans="2:5" x14ac:dyDescent="0.25">
      <c r="B23" s="27" t="s">
        <v>89</v>
      </c>
    </row>
    <row r="24" spans="2:5" x14ac:dyDescent="0.25">
      <c r="B24" s="25" t="s">
        <v>1</v>
      </c>
      <c r="C24" s="25" t="s">
        <v>90</v>
      </c>
      <c r="D24" s="25" t="s">
        <v>91</v>
      </c>
      <c r="E24" s="25" t="s">
        <v>33</v>
      </c>
    </row>
    <row r="25" spans="2:5" x14ac:dyDescent="0.25">
      <c r="B25" s="26" t="s">
        <v>92</v>
      </c>
      <c r="C25" s="26" t="s">
        <v>97</v>
      </c>
      <c r="D25" s="26" t="s">
        <v>94</v>
      </c>
      <c r="E25" s="26">
        <v>256</v>
      </c>
    </row>
    <row r="26" spans="2:5" x14ac:dyDescent="0.25">
      <c r="B26" s="26" t="s">
        <v>92</v>
      </c>
      <c r="C26" s="26" t="s">
        <v>97</v>
      </c>
      <c r="D26" s="26" t="s">
        <v>95</v>
      </c>
      <c r="E26" s="26">
        <v>226</v>
      </c>
    </row>
    <row r="27" spans="2:5" x14ac:dyDescent="0.25">
      <c r="B27" s="26" t="s">
        <v>92</v>
      </c>
      <c r="C27" s="26" t="s">
        <v>93</v>
      </c>
      <c r="D27" s="26" t="s">
        <v>96</v>
      </c>
      <c r="E27" s="26">
        <v>349</v>
      </c>
    </row>
    <row r="28" spans="2:5" x14ac:dyDescent="0.25">
      <c r="B28" s="26" t="s">
        <v>92</v>
      </c>
      <c r="C28" s="26" t="s">
        <v>93</v>
      </c>
      <c r="D28" s="26" t="s">
        <v>94</v>
      </c>
      <c r="E28" s="26">
        <v>250</v>
      </c>
    </row>
    <row r="29" spans="2:5" x14ac:dyDescent="0.25">
      <c r="B29" s="26" t="s">
        <v>92</v>
      </c>
      <c r="C29" s="26" t="s">
        <v>93</v>
      </c>
      <c r="D29" s="26" t="s">
        <v>95</v>
      </c>
      <c r="E29" s="26">
        <v>306</v>
      </c>
    </row>
    <row r="30" spans="2:5" x14ac:dyDescent="0.25">
      <c r="B30" s="26" t="s">
        <v>100</v>
      </c>
      <c r="C30" s="26" t="s">
        <v>102</v>
      </c>
      <c r="E30" s="26">
        <v>231</v>
      </c>
    </row>
    <row r="31" spans="2:5" x14ac:dyDescent="0.25">
      <c r="B31" s="26" t="s">
        <v>100</v>
      </c>
      <c r="C31" s="26" t="s">
        <v>101</v>
      </c>
      <c r="E31" s="26">
        <v>453</v>
      </c>
    </row>
    <row r="32" spans="2:5" x14ac:dyDescent="0.25">
      <c r="B32" s="26" t="s">
        <v>100</v>
      </c>
      <c r="E32" s="26">
        <v>243</v>
      </c>
    </row>
    <row r="33" spans="2:5" x14ac:dyDescent="0.25">
      <c r="B33" s="26" t="s">
        <v>98</v>
      </c>
      <c r="E33" s="26">
        <v>600</v>
      </c>
    </row>
    <row r="34" spans="2:5" x14ac:dyDescent="0.25">
      <c r="B34" s="26" t="s">
        <v>99</v>
      </c>
      <c r="C34" s="26" t="s">
        <v>97</v>
      </c>
      <c r="D34" s="26" t="s">
        <v>94</v>
      </c>
      <c r="E34" s="26">
        <v>477</v>
      </c>
    </row>
    <row r="35" spans="2:5" x14ac:dyDescent="0.25">
      <c r="B35" s="26" t="s">
        <v>99</v>
      </c>
      <c r="C35" s="26" t="s">
        <v>97</v>
      </c>
      <c r="D35" s="26" t="s">
        <v>95</v>
      </c>
      <c r="E35" s="26">
        <v>493</v>
      </c>
    </row>
    <row r="36" spans="2:5" x14ac:dyDescent="0.25">
      <c r="B36" s="26" t="s">
        <v>99</v>
      </c>
      <c r="C36" s="26" t="s">
        <v>93</v>
      </c>
      <c r="D36" s="26" t="s">
        <v>96</v>
      </c>
      <c r="E36" s="26">
        <v>423</v>
      </c>
    </row>
    <row r="37" spans="2:5" x14ac:dyDescent="0.25">
      <c r="B37" s="26" t="s">
        <v>99</v>
      </c>
      <c r="D37" s="26" t="s">
        <v>94</v>
      </c>
      <c r="E37" s="26">
        <v>600</v>
      </c>
    </row>
    <row r="38" spans="2:5" x14ac:dyDescent="0.25">
      <c r="B38" s="26" t="s">
        <v>99</v>
      </c>
      <c r="D38" s="26" t="s">
        <v>95</v>
      </c>
      <c r="E38" s="26">
        <v>431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3B8F-C4BA-3B48-8AE3-F3822D2F0981}">
  <dimension ref="A1:E21"/>
  <sheetViews>
    <sheetView zoomScale="73" zoomScaleNormal="73" workbookViewId="0">
      <selection activeCell="P17" sqref="P17"/>
    </sheetView>
  </sheetViews>
  <sheetFormatPr defaultColWidth="11.5703125" defaultRowHeight="15" x14ac:dyDescent="0.25"/>
  <cols>
    <col min="2" max="2" width="19" bestFit="1" customWidth="1"/>
    <col min="3" max="4" width="10.140625" bestFit="1" customWidth="1"/>
  </cols>
  <sheetData>
    <row r="1" spans="1:5" x14ac:dyDescent="0.25">
      <c r="A1" s="28"/>
      <c r="B1" s="28"/>
      <c r="C1" s="28"/>
      <c r="D1" s="28"/>
      <c r="E1" s="28"/>
    </row>
    <row r="2" spans="1:5" ht="21" x14ac:dyDescent="0.35">
      <c r="A2" s="28"/>
      <c r="B2" s="29" t="s">
        <v>103</v>
      </c>
      <c r="C2" s="28"/>
      <c r="D2" s="28"/>
      <c r="E2" s="28"/>
    </row>
    <row r="3" spans="1:5" ht="15.75" thickBot="1" x14ac:dyDescent="0.3">
      <c r="A3" s="28"/>
      <c r="B3" s="30" t="s">
        <v>1</v>
      </c>
      <c r="C3" s="30" t="s">
        <v>35</v>
      </c>
      <c r="D3" s="30" t="s">
        <v>33</v>
      </c>
      <c r="E3" s="28"/>
    </row>
    <row r="4" spans="1:5" x14ac:dyDescent="0.25">
      <c r="A4" s="28"/>
      <c r="B4" s="31" t="s">
        <v>5</v>
      </c>
      <c r="C4" s="32">
        <v>8000</v>
      </c>
      <c r="D4" s="32">
        <v>13120</v>
      </c>
      <c r="E4" s="28"/>
    </row>
    <row r="5" spans="1:5" x14ac:dyDescent="0.25">
      <c r="A5" s="28"/>
      <c r="B5" s="33" t="s">
        <v>8</v>
      </c>
      <c r="C5" s="34">
        <v>5000</v>
      </c>
      <c r="D5" s="34">
        <v>9500</v>
      </c>
      <c r="E5" s="28"/>
    </row>
    <row r="6" spans="1:5" x14ac:dyDescent="0.25">
      <c r="A6" s="28"/>
      <c r="B6" s="31" t="s">
        <v>7</v>
      </c>
      <c r="C6" s="32">
        <v>5000</v>
      </c>
      <c r="D6" s="32">
        <v>2500</v>
      </c>
      <c r="E6" s="28"/>
    </row>
    <row r="7" spans="1:5" x14ac:dyDescent="0.25">
      <c r="A7" s="28"/>
      <c r="B7" s="33" t="s">
        <v>3</v>
      </c>
      <c r="C7" s="34">
        <v>25000</v>
      </c>
      <c r="D7" s="34">
        <v>30750</v>
      </c>
      <c r="E7" s="28"/>
    </row>
    <row r="8" spans="1:5" x14ac:dyDescent="0.25">
      <c r="A8" s="28"/>
      <c r="B8" s="31" t="s">
        <v>11</v>
      </c>
      <c r="C8" s="34">
        <v>25000</v>
      </c>
      <c r="D8" s="32">
        <v>48000</v>
      </c>
      <c r="E8" s="28"/>
    </row>
    <row r="9" spans="1:5" x14ac:dyDescent="0.25">
      <c r="A9" s="28"/>
      <c r="B9" s="33" t="s">
        <v>6</v>
      </c>
      <c r="C9" s="34">
        <v>25000</v>
      </c>
      <c r="D9" s="34">
        <v>54300</v>
      </c>
      <c r="E9" s="28"/>
    </row>
    <row r="10" spans="1:5" x14ac:dyDescent="0.25">
      <c r="A10" s="28"/>
      <c r="B10" s="31" t="s">
        <v>4</v>
      </c>
      <c r="C10" s="34">
        <v>25000</v>
      </c>
      <c r="D10" s="32">
        <v>51000</v>
      </c>
      <c r="E10" s="28"/>
    </row>
    <row r="11" spans="1:5" x14ac:dyDescent="0.25">
      <c r="A11" s="28"/>
      <c r="B11" s="33" t="s">
        <v>10</v>
      </c>
      <c r="C11" s="34">
        <v>25000</v>
      </c>
      <c r="D11" s="34">
        <v>42350</v>
      </c>
      <c r="E11" s="28"/>
    </row>
    <row r="12" spans="1:5" x14ac:dyDescent="0.25">
      <c r="A12" s="28"/>
      <c r="B12" s="31" t="s">
        <v>9</v>
      </c>
      <c r="C12" s="34">
        <v>25000</v>
      </c>
      <c r="D12" s="32">
        <v>64000</v>
      </c>
      <c r="E12" s="28"/>
    </row>
    <row r="13" spans="1:5" x14ac:dyDescent="0.25">
      <c r="A13" s="28"/>
      <c r="B13" s="33" t="s">
        <v>12</v>
      </c>
      <c r="C13" s="34">
        <v>25000</v>
      </c>
      <c r="D13" s="34">
        <v>63350</v>
      </c>
      <c r="E13" s="28"/>
    </row>
    <row r="14" spans="1:5" x14ac:dyDescent="0.25">
      <c r="A14" s="28"/>
      <c r="B14" s="28"/>
      <c r="C14" s="28"/>
      <c r="D14" s="28"/>
      <c r="E14" s="28"/>
    </row>
    <row r="15" spans="1:5" x14ac:dyDescent="0.25">
      <c r="A15" s="28"/>
      <c r="B15" s="28"/>
      <c r="C15" s="28"/>
      <c r="D15" s="28"/>
      <c r="E15" s="28"/>
    </row>
    <row r="16" spans="1:5" x14ac:dyDescent="0.25">
      <c r="A16" s="28"/>
      <c r="B16" s="28" t="s">
        <v>104</v>
      </c>
      <c r="C16" s="28"/>
      <c r="D16" s="28"/>
      <c r="E16" s="28"/>
    </row>
    <row r="17" spans="1:5" x14ac:dyDescent="0.25">
      <c r="A17" s="28"/>
      <c r="B17" s="28"/>
      <c r="C17" s="28"/>
      <c r="D17" s="28"/>
      <c r="E17" s="28"/>
    </row>
    <row r="18" spans="1:5" x14ac:dyDescent="0.25">
      <c r="A18" s="28"/>
      <c r="B18" s="28"/>
      <c r="C18" s="28"/>
      <c r="D18" s="28"/>
      <c r="E18" s="28"/>
    </row>
    <row r="19" spans="1:5" x14ac:dyDescent="0.25">
      <c r="A19" s="28"/>
      <c r="B19" s="28"/>
      <c r="C19" s="28"/>
      <c r="D19" s="28"/>
      <c r="E19" s="28"/>
    </row>
    <row r="20" spans="1:5" x14ac:dyDescent="0.25">
      <c r="A20" s="28"/>
      <c r="B20" s="28"/>
      <c r="C20" s="28"/>
      <c r="D20" s="28"/>
      <c r="E20" s="28"/>
    </row>
    <row r="21" spans="1:5" x14ac:dyDescent="0.25">
      <c r="A21" s="28"/>
      <c r="B21" s="28"/>
      <c r="C21" s="28"/>
      <c r="D21" s="28"/>
      <c r="E21" s="2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8AAD-190F-3A42-90C8-310042387CA9}">
  <dimension ref="A1:G68"/>
  <sheetViews>
    <sheetView topLeftCell="A23" zoomScale="84" zoomScaleNormal="84" workbookViewId="0">
      <selection activeCell="O27" sqref="O27"/>
    </sheetView>
  </sheetViews>
  <sheetFormatPr defaultColWidth="11.5703125" defaultRowHeight="15" x14ac:dyDescent="0.25"/>
  <cols>
    <col min="1" max="1" width="16" bestFit="1" customWidth="1"/>
  </cols>
  <sheetData>
    <row r="1" spans="1:7" x14ac:dyDescent="0.25">
      <c r="A1" s="28"/>
      <c r="B1" s="28"/>
      <c r="C1" s="28"/>
      <c r="D1" s="28"/>
      <c r="E1" s="28"/>
      <c r="F1" s="28"/>
      <c r="G1" s="28"/>
    </row>
    <row r="2" spans="1:7" ht="16.5" thickBot="1" x14ac:dyDescent="0.3">
      <c r="A2" s="35" t="s">
        <v>105</v>
      </c>
      <c r="B2" s="35"/>
      <c r="C2" s="35"/>
      <c r="D2" s="35"/>
      <c r="E2" s="35"/>
      <c r="F2" s="35"/>
      <c r="G2" s="28"/>
    </row>
    <row r="3" spans="1:7" ht="16.5" thickBot="1" x14ac:dyDescent="0.3">
      <c r="A3" s="44" t="s">
        <v>54</v>
      </c>
      <c r="B3" s="45" t="s">
        <v>106</v>
      </c>
      <c r="C3" s="45" t="s">
        <v>66</v>
      </c>
      <c r="D3" s="45" t="s">
        <v>107</v>
      </c>
      <c r="E3" s="45" t="s">
        <v>108</v>
      </c>
      <c r="F3" s="46" t="s">
        <v>109</v>
      </c>
      <c r="G3" s="28"/>
    </row>
    <row r="4" spans="1:7" ht="15.75" x14ac:dyDescent="0.25">
      <c r="A4" s="47">
        <v>45014</v>
      </c>
      <c r="B4" s="48">
        <v>5.9</v>
      </c>
      <c r="C4" s="48">
        <v>5.9</v>
      </c>
      <c r="D4" s="48">
        <v>6.05</v>
      </c>
      <c r="E4" s="48">
        <v>5.8</v>
      </c>
      <c r="F4" s="49">
        <v>95160000</v>
      </c>
      <c r="G4" s="28"/>
    </row>
    <row r="5" spans="1:7" ht="15.75" x14ac:dyDescent="0.25">
      <c r="A5" s="43">
        <v>45013</v>
      </c>
      <c r="B5" s="50">
        <v>6</v>
      </c>
      <c r="C5" s="50">
        <v>5.9</v>
      </c>
      <c r="D5" s="50">
        <v>6.1</v>
      </c>
      <c r="E5" s="50">
        <v>5.8</v>
      </c>
      <c r="F5" s="37">
        <v>109830000</v>
      </c>
      <c r="G5" s="28"/>
    </row>
    <row r="6" spans="1:7" ht="15.75" x14ac:dyDescent="0.25">
      <c r="A6" s="43">
        <v>45012</v>
      </c>
      <c r="B6" s="51">
        <v>6.25</v>
      </c>
      <c r="C6" s="51">
        <v>6.05</v>
      </c>
      <c r="D6" s="51">
        <v>6.3</v>
      </c>
      <c r="E6" s="51">
        <v>6</v>
      </c>
      <c r="F6" s="36">
        <v>73480000</v>
      </c>
      <c r="G6" s="28"/>
    </row>
    <row r="7" spans="1:7" ht="15.75" x14ac:dyDescent="0.25">
      <c r="A7" s="43">
        <v>45009</v>
      </c>
      <c r="B7" s="50">
        <v>6.4</v>
      </c>
      <c r="C7" s="50">
        <v>6.25</v>
      </c>
      <c r="D7" s="50">
        <v>6.5</v>
      </c>
      <c r="E7" s="50">
        <v>6.2</v>
      </c>
      <c r="F7" s="37">
        <v>113500000</v>
      </c>
      <c r="G7" s="28"/>
    </row>
    <row r="8" spans="1:7" ht="16.5" thickBot="1" x14ac:dyDescent="0.3">
      <c r="A8" s="52">
        <v>45008</v>
      </c>
      <c r="B8" s="38">
        <v>6.55</v>
      </c>
      <c r="C8" s="38">
        <v>6.45</v>
      </c>
      <c r="D8" s="38">
        <v>6.55</v>
      </c>
      <c r="E8" s="38">
        <v>6.4</v>
      </c>
      <c r="F8" s="39">
        <v>54970000</v>
      </c>
      <c r="G8" s="28"/>
    </row>
    <row r="9" spans="1:7" x14ac:dyDescent="0.25">
      <c r="A9" s="28"/>
      <c r="B9" s="28"/>
      <c r="C9" s="28"/>
      <c r="D9" s="28"/>
      <c r="E9" s="28"/>
      <c r="F9" s="28"/>
      <c r="G9" s="28"/>
    </row>
    <row r="10" spans="1:7" x14ac:dyDescent="0.25">
      <c r="A10" s="28"/>
      <c r="B10" s="28"/>
      <c r="C10" s="28"/>
      <c r="D10" s="28"/>
      <c r="E10" s="28"/>
      <c r="F10" s="28"/>
      <c r="G10" s="28"/>
    </row>
    <row r="11" spans="1:7" x14ac:dyDescent="0.25">
      <c r="A11" s="28"/>
      <c r="B11" s="28"/>
      <c r="C11" s="28"/>
      <c r="D11" s="28"/>
      <c r="E11" s="28"/>
      <c r="F11" s="28"/>
      <c r="G11" s="28"/>
    </row>
    <row r="12" spans="1:7" ht="15.75" thickBot="1" x14ac:dyDescent="0.3">
      <c r="A12" s="28"/>
      <c r="B12" s="28"/>
      <c r="C12" s="28"/>
      <c r="D12" s="28"/>
      <c r="E12" s="28"/>
      <c r="F12" s="28"/>
      <c r="G12" s="28"/>
    </row>
    <row r="13" spans="1:7" ht="16.5" thickBot="1" x14ac:dyDescent="0.3">
      <c r="A13" s="44" t="s">
        <v>54</v>
      </c>
      <c r="B13" s="45" t="s">
        <v>107</v>
      </c>
      <c r="C13" s="45" t="s">
        <v>108</v>
      </c>
      <c r="D13" s="45" t="s">
        <v>66</v>
      </c>
      <c r="E13" s="28"/>
      <c r="F13" s="28"/>
      <c r="G13" s="28"/>
    </row>
    <row r="14" spans="1:7" ht="15.75" x14ac:dyDescent="0.25">
      <c r="A14" s="47">
        <v>45014</v>
      </c>
      <c r="B14" s="48">
        <v>6.05</v>
      </c>
      <c r="C14" s="48">
        <v>5.8</v>
      </c>
      <c r="D14" s="48">
        <v>5.9</v>
      </c>
      <c r="E14" s="28"/>
      <c r="F14" s="28"/>
      <c r="G14" s="28"/>
    </row>
    <row r="15" spans="1:7" ht="15.75" x14ac:dyDescent="0.25">
      <c r="A15" s="43">
        <v>45013</v>
      </c>
      <c r="B15" s="50">
        <v>6.1</v>
      </c>
      <c r="C15" s="50">
        <v>5.8</v>
      </c>
      <c r="D15" s="50">
        <v>5.9</v>
      </c>
      <c r="E15" s="28"/>
      <c r="F15" s="28"/>
      <c r="G15" s="28"/>
    </row>
    <row r="16" spans="1:7" ht="15.75" x14ac:dyDescent="0.25">
      <c r="A16" s="43">
        <v>45012</v>
      </c>
      <c r="B16" s="51">
        <v>6.3</v>
      </c>
      <c r="C16" s="51">
        <v>6</v>
      </c>
      <c r="D16" s="51">
        <v>6.05</v>
      </c>
      <c r="E16" s="28"/>
      <c r="F16" s="28"/>
      <c r="G16" s="28"/>
    </row>
    <row r="17" spans="1:7" ht="15.75" x14ac:dyDescent="0.25">
      <c r="A17" s="43">
        <v>45009</v>
      </c>
      <c r="B17" s="50">
        <v>6.5</v>
      </c>
      <c r="C17" s="50">
        <v>6.2</v>
      </c>
      <c r="D17" s="50">
        <v>6.25</v>
      </c>
      <c r="E17" s="28"/>
      <c r="F17" s="28"/>
      <c r="G17" s="28"/>
    </row>
    <row r="18" spans="1:7" ht="16.5" thickBot="1" x14ac:dyDescent="0.3">
      <c r="A18" s="52">
        <v>45008</v>
      </c>
      <c r="B18" s="38">
        <v>6.55</v>
      </c>
      <c r="C18" s="38">
        <v>6.4</v>
      </c>
      <c r="D18" s="38">
        <v>6.45</v>
      </c>
    </row>
    <row r="24" spans="1:7" ht="15.75" thickBot="1" x14ac:dyDescent="0.3"/>
    <row r="25" spans="1:7" ht="16.5" thickBot="1" x14ac:dyDescent="0.3">
      <c r="A25" s="44" t="s">
        <v>54</v>
      </c>
      <c r="B25" s="45" t="s">
        <v>106</v>
      </c>
      <c r="C25" s="45" t="s">
        <v>107</v>
      </c>
      <c r="D25" s="45" t="s">
        <v>108</v>
      </c>
      <c r="E25" s="45" t="s">
        <v>66</v>
      </c>
    </row>
    <row r="26" spans="1:7" ht="15.75" x14ac:dyDescent="0.25">
      <c r="A26" s="47">
        <v>45014</v>
      </c>
      <c r="B26" s="48">
        <v>5.9</v>
      </c>
      <c r="C26" s="48">
        <v>6.05</v>
      </c>
      <c r="D26" s="48">
        <v>5.8</v>
      </c>
      <c r="E26" s="48">
        <v>5.9</v>
      </c>
    </row>
    <row r="27" spans="1:7" ht="15.75" x14ac:dyDescent="0.25">
      <c r="A27" s="43">
        <v>45013</v>
      </c>
      <c r="B27" s="50">
        <v>6</v>
      </c>
      <c r="C27" s="50">
        <v>6.1</v>
      </c>
      <c r="D27" s="50">
        <v>5.8</v>
      </c>
      <c r="E27" s="50">
        <v>5.9</v>
      </c>
    </row>
    <row r="28" spans="1:7" ht="15.75" x14ac:dyDescent="0.25">
      <c r="A28" s="43">
        <v>45012</v>
      </c>
      <c r="B28" s="51">
        <v>6.25</v>
      </c>
      <c r="C28" s="51">
        <v>6.3</v>
      </c>
      <c r="D28" s="51">
        <v>6</v>
      </c>
      <c r="E28" s="51">
        <v>6.05</v>
      </c>
    </row>
    <row r="29" spans="1:7" ht="15.75" x14ac:dyDescent="0.25">
      <c r="A29" s="43">
        <v>45009</v>
      </c>
      <c r="B29" s="50">
        <v>6.4</v>
      </c>
      <c r="C29" s="50">
        <v>6.5</v>
      </c>
      <c r="D29" s="50">
        <v>6.2</v>
      </c>
      <c r="E29" s="50">
        <v>6.25</v>
      </c>
    </row>
    <row r="30" spans="1:7" ht="16.5" thickBot="1" x14ac:dyDescent="0.3">
      <c r="A30" s="52">
        <v>45008</v>
      </c>
      <c r="B30" s="38">
        <v>6.55</v>
      </c>
      <c r="C30" s="38">
        <v>6.55</v>
      </c>
      <c r="D30" s="38">
        <v>6.4</v>
      </c>
      <c r="E30" s="38">
        <v>6.45</v>
      </c>
    </row>
    <row r="36" spans="1:6" ht="15.75" thickBot="1" x14ac:dyDescent="0.3"/>
    <row r="37" spans="1:6" ht="16.5" thickBot="1" x14ac:dyDescent="0.3">
      <c r="A37" s="44" t="s">
        <v>54</v>
      </c>
      <c r="B37" s="46" t="s">
        <v>109</v>
      </c>
      <c r="C37" s="45" t="s">
        <v>106</v>
      </c>
      <c r="D37" s="45" t="s">
        <v>66</v>
      </c>
      <c r="E37" s="45" t="s">
        <v>107</v>
      </c>
      <c r="F37" s="45" t="s">
        <v>108</v>
      </c>
    </row>
    <row r="38" spans="1:6" ht="15.75" x14ac:dyDescent="0.25">
      <c r="A38" s="47">
        <v>45014</v>
      </c>
      <c r="B38" s="49">
        <v>95160000</v>
      </c>
      <c r="C38" s="48">
        <v>5.9</v>
      </c>
      <c r="D38" s="48">
        <v>5.9</v>
      </c>
      <c r="E38" s="48">
        <v>6.05</v>
      </c>
      <c r="F38" s="48">
        <v>5.8</v>
      </c>
    </row>
    <row r="39" spans="1:6" ht="15.75" x14ac:dyDescent="0.25">
      <c r="A39" s="43">
        <v>45013</v>
      </c>
      <c r="B39" s="37">
        <v>109830000</v>
      </c>
      <c r="C39" s="50">
        <v>6</v>
      </c>
      <c r="D39" s="50">
        <v>5.9</v>
      </c>
      <c r="E39" s="50">
        <v>6.1</v>
      </c>
      <c r="F39" s="50">
        <v>5.8</v>
      </c>
    </row>
    <row r="40" spans="1:6" ht="15.75" x14ac:dyDescent="0.25">
      <c r="A40" s="43">
        <v>45012</v>
      </c>
      <c r="B40" s="36">
        <v>73480000</v>
      </c>
      <c r="C40" s="51">
        <v>6.25</v>
      </c>
      <c r="D40" s="51">
        <v>6.05</v>
      </c>
      <c r="E40" s="51">
        <v>6.3</v>
      </c>
      <c r="F40" s="51">
        <v>6</v>
      </c>
    </row>
    <row r="41" spans="1:6" ht="15.75" x14ac:dyDescent="0.25">
      <c r="A41" s="43">
        <v>45009</v>
      </c>
      <c r="B41" s="37">
        <v>113500000</v>
      </c>
      <c r="C41" s="50">
        <v>6.4</v>
      </c>
      <c r="D41" s="50">
        <v>6.25</v>
      </c>
      <c r="E41" s="50">
        <v>6.5</v>
      </c>
      <c r="F41" s="50">
        <v>6.2</v>
      </c>
    </row>
    <row r="42" spans="1:6" ht="16.5" thickBot="1" x14ac:dyDescent="0.3">
      <c r="A42" s="52">
        <v>45008</v>
      </c>
      <c r="B42" s="39">
        <v>54970000</v>
      </c>
      <c r="C42" s="38">
        <v>6.55</v>
      </c>
      <c r="D42" s="38">
        <v>6.45</v>
      </c>
      <c r="E42" s="38">
        <v>6.55</v>
      </c>
      <c r="F42" s="38">
        <v>6.4</v>
      </c>
    </row>
    <row r="62" spans="1:6" ht="15.75" thickBot="1" x14ac:dyDescent="0.3"/>
    <row r="63" spans="1:6" ht="16.5" thickBot="1" x14ac:dyDescent="0.3">
      <c r="A63" s="44" t="s">
        <v>54</v>
      </c>
      <c r="B63" s="46" t="s">
        <v>109</v>
      </c>
      <c r="C63" s="45" t="s">
        <v>106</v>
      </c>
      <c r="D63" s="45" t="s">
        <v>107</v>
      </c>
      <c r="E63" s="45" t="s">
        <v>108</v>
      </c>
      <c r="F63" s="45" t="s">
        <v>66</v>
      </c>
    </row>
    <row r="64" spans="1:6" ht="15.75" x14ac:dyDescent="0.25">
      <c r="A64" s="47">
        <v>45014</v>
      </c>
      <c r="B64" s="49">
        <v>95160000</v>
      </c>
      <c r="C64" s="48">
        <v>5.9</v>
      </c>
      <c r="D64" s="48">
        <v>6.05</v>
      </c>
      <c r="E64" s="48">
        <v>5.8</v>
      </c>
      <c r="F64" s="48">
        <v>5.9</v>
      </c>
    </row>
    <row r="65" spans="1:6" ht="15.75" x14ac:dyDescent="0.25">
      <c r="A65" s="43">
        <v>45013</v>
      </c>
      <c r="B65" s="37">
        <v>109830000</v>
      </c>
      <c r="C65" s="50">
        <v>6</v>
      </c>
      <c r="D65" s="50">
        <v>6.1</v>
      </c>
      <c r="E65" s="50">
        <v>5.8</v>
      </c>
      <c r="F65" s="50">
        <v>5.9</v>
      </c>
    </row>
    <row r="66" spans="1:6" ht="15.75" x14ac:dyDescent="0.25">
      <c r="A66" s="43">
        <v>45012</v>
      </c>
      <c r="B66" s="36">
        <v>73480000</v>
      </c>
      <c r="C66" s="51">
        <v>6.25</v>
      </c>
      <c r="D66" s="51">
        <v>6.3</v>
      </c>
      <c r="E66" s="51">
        <v>6</v>
      </c>
      <c r="F66" s="51">
        <v>6.05</v>
      </c>
    </row>
    <row r="67" spans="1:6" ht="15.75" x14ac:dyDescent="0.25">
      <c r="A67" s="43">
        <v>45009</v>
      </c>
      <c r="B67" s="37">
        <v>113500000</v>
      </c>
      <c r="C67" s="50">
        <v>6.4</v>
      </c>
      <c r="D67" s="50">
        <v>6.5</v>
      </c>
      <c r="E67" s="50">
        <v>6.2</v>
      </c>
      <c r="F67" s="50">
        <v>6.25</v>
      </c>
    </row>
    <row r="68" spans="1:6" ht="16.5" thickBot="1" x14ac:dyDescent="0.3">
      <c r="A68" s="52">
        <v>45008</v>
      </c>
      <c r="B68" s="39">
        <v>54970000</v>
      </c>
      <c r="C68" s="38">
        <v>6.55</v>
      </c>
      <c r="D68" s="38">
        <v>6.55</v>
      </c>
      <c r="E68" s="38">
        <v>6.4</v>
      </c>
      <c r="F68" s="38">
        <v>6.45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B6A7-4F06-7E49-BC0D-CF0B39503632}">
  <dimension ref="A1:G13"/>
  <sheetViews>
    <sheetView tabSelected="1" zoomScale="93" zoomScaleNormal="93" workbookViewId="0">
      <selection activeCell="I10" sqref="I10"/>
    </sheetView>
  </sheetViews>
  <sheetFormatPr defaultColWidth="11.5703125" defaultRowHeight="15" x14ac:dyDescent="0.25"/>
  <sheetData>
    <row r="1" spans="1:7" ht="21" x14ac:dyDescent="0.35">
      <c r="A1" s="35"/>
      <c r="B1" s="40" t="s">
        <v>110</v>
      </c>
      <c r="C1" s="40"/>
      <c r="D1" s="40"/>
      <c r="E1" s="40"/>
      <c r="F1" s="35"/>
      <c r="G1" s="35"/>
    </row>
    <row r="2" spans="1:7" ht="15.75" x14ac:dyDescent="0.25">
      <c r="A2" s="35"/>
      <c r="B2" s="41" t="s">
        <v>111</v>
      </c>
      <c r="C2" s="41" t="s">
        <v>112</v>
      </c>
      <c r="D2" s="41" t="s">
        <v>113</v>
      </c>
      <c r="E2" s="41" t="s">
        <v>114</v>
      </c>
      <c r="F2" s="41" t="s">
        <v>115</v>
      </c>
      <c r="G2" s="41" t="s">
        <v>116</v>
      </c>
    </row>
    <row r="3" spans="1:7" ht="15.75" x14ac:dyDescent="0.25">
      <c r="A3" s="35"/>
      <c r="B3" s="42">
        <v>2009</v>
      </c>
      <c r="C3" s="53">
        <v>40</v>
      </c>
      <c r="D3" s="53">
        <v>48</v>
      </c>
      <c r="E3" s="53">
        <v>44</v>
      </c>
      <c r="F3" s="53">
        <v>47</v>
      </c>
      <c r="G3" s="53">
        <v>36</v>
      </c>
    </row>
    <row r="4" spans="1:7" ht="15.75" x14ac:dyDescent="0.25">
      <c r="A4" s="35"/>
      <c r="B4" s="42">
        <v>2010</v>
      </c>
      <c r="C4" s="53">
        <v>40</v>
      </c>
      <c r="D4" s="53">
        <v>48</v>
      </c>
      <c r="E4" s="53">
        <v>45</v>
      </c>
      <c r="F4" s="53">
        <v>48</v>
      </c>
      <c r="G4" s="53">
        <v>36</v>
      </c>
    </row>
    <row r="5" spans="1:7" ht="15.75" x14ac:dyDescent="0.25">
      <c r="A5" s="35"/>
      <c r="B5" s="42">
        <v>2011</v>
      </c>
      <c r="C5" s="53">
        <v>39</v>
      </c>
      <c r="D5" s="53">
        <v>45</v>
      </c>
      <c r="E5" s="53">
        <v>41</v>
      </c>
      <c r="F5" s="53">
        <v>46</v>
      </c>
      <c r="G5" s="53">
        <v>37</v>
      </c>
    </row>
    <row r="6" spans="1:7" ht="15.75" x14ac:dyDescent="0.25">
      <c r="A6" s="35"/>
      <c r="B6" s="42">
        <v>2012</v>
      </c>
      <c r="C6" s="53">
        <v>38</v>
      </c>
      <c r="D6" s="53">
        <v>46</v>
      </c>
      <c r="E6" s="53">
        <v>43</v>
      </c>
      <c r="F6" s="53">
        <v>46</v>
      </c>
      <c r="G6" s="53">
        <v>38</v>
      </c>
    </row>
    <row r="7" spans="1:7" ht="15.75" x14ac:dyDescent="0.25">
      <c r="A7" s="35"/>
      <c r="B7" s="42">
        <v>2013</v>
      </c>
      <c r="C7" s="53">
        <v>38</v>
      </c>
      <c r="D7" s="53">
        <v>47</v>
      </c>
      <c r="E7" s="53">
        <v>43</v>
      </c>
      <c r="F7" s="53">
        <v>46</v>
      </c>
      <c r="G7" s="53">
        <v>37</v>
      </c>
    </row>
    <row r="8" spans="1:7" ht="15.75" x14ac:dyDescent="0.25">
      <c r="A8" s="35"/>
      <c r="B8" s="42">
        <v>2014</v>
      </c>
      <c r="C8" s="53">
        <v>38</v>
      </c>
      <c r="D8" s="53">
        <v>47</v>
      </c>
      <c r="E8" s="53">
        <v>42</v>
      </c>
      <c r="F8" s="53">
        <v>46</v>
      </c>
      <c r="G8" s="53">
        <v>38</v>
      </c>
    </row>
    <row r="9" spans="1:7" ht="15.75" x14ac:dyDescent="0.25">
      <c r="A9" s="35"/>
      <c r="B9" s="42">
        <v>2015</v>
      </c>
      <c r="C9" s="53">
        <v>35</v>
      </c>
      <c r="D9" s="53">
        <v>46</v>
      </c>
      <c r="E9" s="53">
        <v>43</v>
      </c>
      <c r="F9" s="53">
        <v>45</v>
      </c>
      <c r="G9" s="53">
        <v>37</v>
      </c>
    </row>
    <row r="10" spans="1:7" ht="15.75" x14ac:dyDescent="0.25">
      <c r="A10" s="35"/>
      <c r="B10" s="42">
        <v>2016</v>
      </c>
      <c r="C10" s="53">
        <v>39</v>
      </c>
      <c r="D10" s="53">
        <v>46</v>
      </c>
      <c r="E10" s="53">
        <v>42</v>
      </c>
      <c r="F10" s="53">
        <v>46</v>
      </c>
      <c r="G10" s="53">
        <v>35</v>
      </c>
    </row>
    <row r="11" spans="1:7" ht="15.75" x14ac:dyDescent="0.25">
      <c r="A11" s="35"/>
      <c r="B11" s="42">
        <v>2017</v>
      </c>
      <c r="C11" s="53">
        <v>37</v>
      </c>
      <c r="D11" s="53">
        <v>47</v>
      </c>
      <c r="E11" s="53">
        <v>42</v>
      </c>
      <c r="F11" s="53">
        <v>46</v>
      </c>
      <c r="G11" s="53">
        <v>37</v>
      </c>
    </row>
    <row r="12" spans="1:7" ht="15.75" x14ac:dyDescent="0.25">
      <c r="A12" s="35"/>
      <c r="B12" s="42">
        <v>2018</v>
      </c>
      <c r="C12" s="53">
        <v>36</v>
      </c>
      <c r="D12" s="53">
        <v>46</v>
      </c>
      <c r="E12" s="53">
        <v>41</v>
      </c>
      <c r="F12" s="53">
        <v>45</v>
      </c>
      <c r="G12" s="53">
        <v>36</v>
      </c>
    </row>
    <row r="13" spans="1:7" ht="15.75" x14ac:dyDescent="0.25">
      <c r="A13" s="35"/>
      <c r="B13" s="42">
        <v>2019</v>
      </c>
      <c r="C13" s="53">
        <v>38</v>
      </c>
      <c r="D13" s="53">
        <v>52</v>
      </c>
      <c r="E13" s="53">
        <v>47</v>
      </c>
      <c r="F13" s="53">
        <v>47</v>
      </c>
      <c r="G13" s="53">
        <v>36</v>
      </c>
    </row>
  </sheetData>
  <conditionalFormatting sqref="C3:G13">
    <cfRule type="colorScale" priority="2">
      <colorScale>
        <cfvo type="min"/>
        <cfvo type="num" val="13"/>
        <cfvo type="max"/>
        <color rgb="FF00B0F0"/>
        <color rgb="FFFFFF00"/>
        <color rgb="FFFF0000"/>
      </colorScale>
    </cfRule>
    <cfRule type="colorScale" priority="1">
      <colorScale>
        <cfvo type="min"/>
        <cfvo type="percentile" val="42"/>
        <cfvo type="max"/>
        <color rgb="FF92D050"/>
        <color theme="5"/>
        <color rgb="FFFF000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Histogram</vt:lpstr>
      <vt:lpstr>Area Chart</vt:lpstr>
      <vt:lpstr>Pie Chart</vt:lpstr>
      <vt:lpstr>Doughnut Chart</vt:lpstr>
      <vt:lpstr>Scatter</vt:lpstr>
      <vt:lpstr>Bubble</vt:lpstr>
      <vt:lpstr>Box Plot</vt:lpstr>
      <vt:lpstr>Treemap</vt:lpstr>
      <vt:lpstr>Waterfall Chart</vt:lpstr>
      <vt:lpstr>Funnel</vt:lpstr>
      <vt:lpstr>Sunburst </vt:lpstr>
      <vt:lpstr>Radar</vt:lpstr>
      <vt:lpstr>Stock</vt:lpstr>
      <vt:lpstr>Heatmap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Siddharth Rout</dc:creator>
  <cp:keywords/>
  <dc:description/>
  <cp:lastModifiedBy>Siddhesh Boraste</cp:lastModifiedBy>
  <cp:revision/>
  <dcterms:created xsi:type="dcterms:W3CDTF">2023-03-02T13:31:55Z</dcterms:created>
  <dcterms:modified xsi:type="dcterms:W3CDTF">2025-09-04T14:09:53Z</dcterms:modified>
  <cp:category/>
  <cp:contentStatus/>
</cp:coreProperties>
</file>