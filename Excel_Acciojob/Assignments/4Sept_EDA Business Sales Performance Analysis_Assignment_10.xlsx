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dea56938558c3629/Desktop/Excel_Acciojob/Assignments/"/>
    </mc:Choice>
  </mc:AlternateContent>
  <xr:revisionPtr revIDLastSave="1" documentId="11_B7E8DDBE58C2E8B48F0C79C976BE39B01CED3E61" xr6:coauthVersionLast="47" xr6:coauthVersionMax="47" xr10:uidLastSave="{8184F51A-2BB6-4FE2-BCB3-D277208D313C}"/>
  <bookViews>
    <workbookView xWindow="-120" yWindow="-120" windowWidth="20730" windowHeight="11160" xr2:uid="{00000000-000D-0000-FFFF-FFFF00000000}"/>
  </bookViews>
  <sheets>
    <sheet name="Answers" sheetId="3" r:id="rId1"/>
    <sheet name="Data" sheetId="1" r:id="rId2"/>
    <sheet name="Questions" sheetId="2" r:id="rId3"/>
  </sheets>
  <calcPr calcId="191029"/>
  <pivotCaches>
    <pivotCache cacheId="72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11" i="3" l="1"/>
  <c r="D97" i="3"/>
  <c r="D37" i="3"/>
  <c r="C2" i="2"/>
</calcChain>
</file>

<file path=xl/sharedStrings.xml><?xml version="1.0" encoding="utf-8"?>
<sst xmlns="http://schemas.openxmlformats.org/spreadsheetml/2006/main" count="1937" uniqueCount="375">
  <si>
    <t>Transaction ID</t>
  </si>
  <si>
    <t>Date</t>
  </si>
  <si>
    <t>Industry</t>
  </si>
  <si>
    <t>Department</t>
  </si>
  <si>
    <t>Country</t>
  </si>
  <si>
    <t>Product</t>
  </si>
  <si>
    <t>Sales Channel</t>
  </si>
  <si>
    <t>Revenue</t>
  </si>
  <si>
    <t>Units Sold</t>
  </si>
  <si>
    <t>Net Profit</t>
  </si>
  <si>
    <t>TXN-3000</t>
  </si>
  <si>
    <t>Technology</t>
  </si>
  <si>
    <t>Engineering</t>
  </si>
  <si>
    <t>UK</t>
  </si>
  <si>
    <t>Retail Bundle</t>
  </si>
  <si>
    <t>Offline</t>
  </si>
  <si>
    <t>TXN-3001</t>
  </si>
  <si>
    <t>Healthcare</t>
  </si>
  <si>
    <t>Germany</t>
  </si>
  <si>
    <t>Online Course</t>
  </si>
  <si>
    <t>Online</t>
  </si>
  <si>
    <t>TXN-3002</t>
  </si>
  <si>
    <t>Sales</t>
  </si>
  <si>
    <t>Brazil</t>
  </si>
  <si>
    <t>Fitness Program</t>
  </si>
  <si>
    <t>In-store</t>
  </si>
  <si>
    <t>TXN-3003</t>
  </si>
  <si>
    <t>Retail</t>
  </si>
  <si>
    <t>Marketing</t>
  </si>
  <si>
    <t>India</t>
  </si>
  <si>
    <t>TXN-3004</t>
  </si>
  <si>
    <t>HR</t>
  </si>
  <si>
    <t>Medical Device</t>
  </si>
  <si>
    <t>Agent</t>
  </si>
  <si>
    <t>TXN-3005</t>
  </si>
  <si>
    <t>Referral</t>
  </si>
  <si>
    <t>TXN-3006</t>
  </si>
  <si>
    <t>TXN-3007</t>
  </si>
  <si>
    <t>USA</t>
  </si>
  <si>
    <t>TXN-3008</t>
  </si>
  <si>
    <t>Finance</t>
  </si>
  <si>
    <t>App Subscription</t>
  </si>
  <si>
    <t>TXN-3009</t>
  </si>
  <si>
    <t>Software License</t>
  </si>
  <si>
    <t>TXN-3010</t>
  </si>
  <si>
    <t>TXN-3011</t>
  </si>
  <si>
    <t>TXN-3012</t>
  </si>
  <si>
    <t>Customer Support</t>
  </si>
  <si>
    <t>TXN-3013</t>
  </si>
  <si>
    <t>TXN-3014</t>
  </si>
  <si>
    <t>Credit Package</t>
  </si>
  <si>
    <t>TXN-3015</t>
  </si>
  <si>
    <t>TXN-3016</t>
  </si>
  <si>
    <t>TXN-3017</t>
  </si>
  <si>
    <t>TXN-3018</t>
  </si>
  <si>
    <t>TXN-3019</t>
  </si>
  <si>
    <t>TXN-3020</t>
  </si>
  <si>
    <t>TXN-3021</t>
  </si>
  <si>
    <t>TXN-3022</t>
  </si>
  <si>
    <t>TXN-3023</t>
  </si>
  <si>
    <t>TXN-3024</t>
  </si>
  <si>
    <t>TXN-3025</t>
  </si>
  <si>
    <t>TXN-3026</t>
  </si>
  <si>
    <t>TXN-3027</t>
  </si>
  <si>
    <t>TXN-3028</t>
  </si>
  <si>
    <t>TXN-3029</t>
  </si>
  <si>
    <t>TXN-3030</t>
  </si>
  <si>
    <t>TXN-3031</t>
  </si>
  <si>
    <t>TXN-3032</t>
  </si>
  <si>
    <t>TXN-3033</t>
  </si>
  <si>
    <t>Insurance Plan</t>
  </si>
  <si>
    <t>TXN-3034</t>
  </si>
  <si>
    <t>TXN-3035</t>
  </si>
  <si>
    <t>TXN-3036</t>
  </si>
  <si>
    <t>TXN-3037</t>
  </si>
  <si>
    <t>TXN-3038</t>
  </si>
  <si>
    <t>TXN-3039</t>
  </si>
  <si>
    <t>TXN-3040</t>
  </si>
  <si>
    <t>TXN-3041</t>
  </si>
  <si>
    <t>TXN-3042</t>
  </si>
  <si>
    <t>TXN-3043</t>
  </si>
  <si>
    <t>TXN-3044</t>
  </si>
  <si>
    <t>TXN-3045</t>
  </si>
  <si>
    <t>TXN-3046</t>
  </si>
  <si>
    <t>TXN-3047</t>
  </si>
  <si>
    <t>TXN-3048</t>
  </si>
  <si>
    <t>TXN-3049</t>
  </si>
  <si>
    <t>TXN-3050</t>
  </si>
  <si>
    <t>TXN-3051</t>
  </si>
  <si>
    <t>TXN-3052</t>
  </si>
  <si>
    <t>TXN-3053</t>
  </si>
  <si>
    <t>TXN-3054</t>
  </si>
  <si>
    <t>TXN-3055</t>
  </si>
  <si>
    <t>TXN-3056</t>
  </si>
  <si>
    <t>TXN-3057</t>
  </si>
  <si>
    <t>TXN-3058</t>
  </si>
  <si>
    <t>TXN-3059</t>
  </si>
  <si>
    <t>TXN-3060</t>
  </si>
  <si>
    <t>TXN-3061</t>
  </si>
  <si>
    <t>TXN-3062</t>
  </si>
  <si>
    <t>TXN-3063</t>
  </si>
  <si>
    <t>TXN-3064</t>
  </si>
  <si>
    <t>TXN-3065</t>
  </si>
  <si>
    <t>TXN-3066</t>
  </si>
  <si>
    <t>TXN-3067</t>
  </si>
  <si>
    <t>TXN-3068</t>
  </si>
  <si>
    <t>TXN-3069</t>
  </si>
  <si>
    <t>TXN-3070</t>
  </si>
  <si>
    <t>TXN-3071</t>
  </si>
  <si>
    <t>TXN-3072</t>
  </si>
  <si>
    <t>TXN-3073</t>
  </si>
  <si>
    <t>TXN-3074</t>
  </si>
  <si>
    <t>TXN-3075</t>
  </si>
  <si>
    <t>TXN-3076</t>
  </si>
  <si>
    <t>TXN-3077</t>
  </si>
  <si>
    <t>TXN-3078</t>
  </si>
  <si>
    <t>TXN-3079</t>
  </si>
  <si>
    <t>TXN-3080</t>
  </si>
  <si>
    <t>TXN-3081</t>
  </si>
  <si>
    <t>TXN-3082</t>
  </si>
  <si>
    <t>TXN-3083</t>
  </si>
  <si>
    <t>TXN-3084</t>
  </si>
  <si>
    <t>TXN-3085</t>
  </si>
  <si>
    <t>TXN-3086</t>
  </si>
  <si>
    <t>TXN-3087</t>
  </si>
  <si>
    <t>TXN-3088</t>
  </si>
  <si>
    <t>TXN-3089</t>
  </si>
  <si>
    <t>TXN-3090</t>
  </si>
  <si>
    <t>TXN-3091</t>
  </si>
  <si>
    <t>TXN-3092</t>
  </si>
  <si>
    <t>TXN-3093</t>
  </si>
  <si>
    <t>TXN-3094</t>
  </si>
  <si>
    <t>TXN-3095</t>
  </si>
  <si>
    <t>TXN-3096</t>
  </si>
  <si>
    <t>TXN-3097</t>
  </si>
  <si>
    <t>TXN-3098</t>
  </si>
  <si>
    <t>TXN-3099</t>
  </si>
  <si>
    <t>TXN-3100</t>
  </si>
  <si>
    <t>TXN-3101</t>
  </si>
  <si>
    <t>TXN-3102</t>
  </si>
  <si>
    <t>TXN-3103</t>
  </si>
  <si>
    <t>TXN-3104</t>
  </si>
  <si>
    <t>TXN-3105</t>
  </si>
  <si>
    <t>TXN-3106</t>
  </si>
  <si>
    <t>TXN-3107</t>
  </si>
  <si>
    <t>TXN-3108</t>
  </si>
  <si>
    <t>TXN-3109</t>
  </si>
  <si>
    <t>TXN-3110</t>
  </si>
  <si>
    <t>TXN-3111</t>
  </si>
  <si>
    <t>TXN-3112</t>
  </si>
  <si>
    <t>TXN-3113</t>
  </si>
  <si>
    <t>TXN-3114</t>
  </si>
  <si>
    <t>TXN-3115</t>
  </si>
  <si>
    <t>TXN-3116</t>
  </si>
  <si>
    <t>TXN-3117</t>
  </si>
  <si>
    <t>TXN-3118</t>
  </si>
  <si>
    <t>TXN-3119</t>
  </si>
  <si>
    <t>TXN-3120</t>
  </si>
  <si>
    <t>TXN-3121</t>
  </si>
  <si>
    <t>TXN-3122</t>
  </si>
  <si>
    <t>TXN-3123</t>
  </si>
  <si>
    <t>TXN-3124</t>
  </si>
  <si>
    <t>TXN-3125</t>
  </si>
  <si>
    <t>TXN-3126</t>
  </si>
  <si>
    <t>TXN-3127</t>
  </si>
  <si>
    <t>TXN-3128</t>
  </si>
  <si>
    <t>TXN-3129</t>
  </si>
  <si>
    <t>TXN-3130</t>
  </si>
  <si>
    <t>TXN-3131</t>
  </si>
  <si>
    <t>TXN-3132</t>
  </si>
  <si>
    <t>TXN-3133</t>
  </si>
  <si>
    <t>TXN-3134</t>
  </si>
  <si>
    <t>TXN-3135</t>
  </si>
  <si>
    <t>TXN-3136</t>
  </si>
  <si>
    <t>TXN-3137</t>
  </si>
  <si>
    <t>TXN-3138</t>
  </si>
  <si>
    <t>TXN-3139</t>
  </si>
  <si>
    <t>TXN-3140</t>
  </si>
  <si>
    <t>TXN-3141</t>
  </si>
  <si>
    <t>TXN-3142</t>
  </si>
  <si>
    <t>TXN-3143</t>
  </si>
  <si>
    <t>TXN-3144</t>
  </si>
  <si>
    <t>TXN-3145</t>
  </si>
  <si>
    <t>TXN-3146</t>
  </si>
  <si>
    <t>TXN-3147</t>
  </si>
  <si>
    <t>TXN-3148</t>
  </si>
  <si>
    <t>TXN-3149</t>
  </si>
  <si>
    <t>TXN-3150</t>
  </si>
  <si>
    <t>TXN-3151</t>
  </si>
  <si>
    <t>TXN-3152</t>
  </si>
  <si>
    <t>TXN-3153</t>
  </si>
  <si>
    <t>TXN-3154</t>
  </si>
  <si>
    <t>TXN-3155</t>
  </si>
  <si>
    <t>TXN-3156</t>
  </si>
  <si>
    <t>TXN-3157</t>
  </si>
  <si>
    <t>TXN-3158</t>
  </si>
  <si>
    <t>TXN-3159</t>
  </si>
  <si>
    <t>TXN-3160</t>
  </si>
  <si>
    <t>TXN-3161</t>
  </si>
  <si>
    <t>TXN-3162</t>
  </si>
  <si>
    <t>TXN-3163</t>
  </si>
  <si>
    <t>TXN-3164</t>
  </si>
  <si>
    <t>TXN-3165</t>
  </si>
  <si>
    <t>TXN-3166</t>
  </si>
  <si>
    <t>TXN-3167</t>
  </si>
  <si>
    <t>TXN-3168</t>
  </si>
  <si>
    <t>TXN-3169</t>
  </si>
  <si>
    <t>TXN-3170</t>
  </si>
  <si>
    <t>TXN-3171</t>
  </si>
  <si>
    <t>TXN-3172</t>
  </si>
  <si>
    <t>TXN-3173</t>
  </si>
  <si>
    <t>TXN-3174</t>
  </si>
  <si>
    <t>TXN-3175</t>
  </si>
  <si>
    <t>TXN-3176</t>
  </si>
  <si>
    <t>TXN-3177</t>
  </si>
  <si>
    <t>TXN-3178</t>
  </si>
  <si>
    <t>TXN-3179</t>
  </si>
  <si>
    <t>TXN-3180</t>
  </si>
  <si>
    <t>TXN-3181</t>
  </si>
  <si>
    <t>TXN-3182</t>
  </si>
  <si>
    <t>TXN-3183</t>
  </si>
  <si>
    <t>TXN-3184</t>
  </si>
  <si>
    <t>TXN-3185</t>
  </si>
  <si>
    <t>TXN-3186</t>
  </si>
  <si>
    <t>TXN-3187</t>
  </si>
  <si>
    <t>TXN-3188</t>
  </si>
  <si>
    <t>TXN-3189</t>
  </si>
  <si>
    <t>TXN-3190</t>
  </si>
  <si>
    <t>TXN-3191</t>
  </si>
  <si>
    <t>TXN-3192</t>
  </si>
  <si>
    <t>TXN-3193</t>
  </si>
  <si>
    <t>TXN-3194</t>
  </si>
  <si>
    <t>TXN-3195</t>
  </si>
  <si>
    <t>TXN-3196</t>
  </si>
  <si>
    <t>TXN-3197</t>
  </si>
  <si>
    <t>TXN-3198</t>
  </si>
  <si>
    <t>TXN-3199</t>
  </si>
  <si>
    <t>TXN-3200</t>
  </si>
  <si>
    <t>TXN-3201</t>
  </si>
  <si>
    <t>TXN-3202</t>
  </si>
  <si>
    <t>TXN-3203</t>
  </si>
  <si>
    <t>TXN-3204</t>
  </si>
  <si>
    <t>TXN-3205</t>
  </si>
  <si>
    <t>TXN-3206</t>
  </si>
  <si>
    <t>TXN-3207</t>
  </si>
  <si>
    <t>TXN-3208</t>
  </si>
  <si>
    <t>TXN-3209</t>
  </si>
  <si>
    <t>TXN-3210</t>
  </si>
  <si>
    <t>TXN-3211</t>
  </si>
  <si>
    <t>TXN-3212</t>
  </si>
  <si>
    <t>TXN-3213</t>
  </si>
  <si>
    <t>TXN-3214</t>
  </si>
  <si>
    <t>TXN-3215</t>
  </si>
  <si>
    <t>TXN-3216</t>
  </si>
  <si>
    <t>TXN-3217</t>
  </si>
  <si>
    <t>TXN-3218</t>
  </si>
  <si>
    <t>TXN-3219</t>
  </si>
  <si>
    <t>TXN-3220</t>
  </si>
  <si>
    <t>TXN-3221</t>
  </si>
  <si>
    <t>TXN-3222</t>
  </si>
  <si>
    <t>TXN-3223</t>
  </si>
  <si>
    <t>TXN-3224</t>
  </si>
  <si>
    <t>TXN-3225</t>
  </si>
  <si>
    <t>TXN-3226</t>
  </si>
  <si>
    <t>TXN-3227</t>
  </si>
  <si>
    <t>TXN-3228</t>
  </si>
  <si>
    <t>TXN-3229</t>
  </si>
  <si>
    <t>TXN-3230</t>
  </si>
  <si>
    <t>TXN-3231</t>
  </si>
  <si>
    <t>TXN-3232</t>
  </si>
  <si>
    <t>TXN-3233</t>
  </si>
  <si>
    <t>TXN-3234</t>
  </si>
  <si>
    <t>TXN-3235</t>
  </si>
  <si>
    <t>TXN-3236</t>
  </si>
  <si>
    <t>TXN-3237</t>
  </si>
  <si>
    <t>TXN-3238</t>
  </si>
  <si>
    <t>TXN-3239</t>
  </si>
  <si>
    <t>TXN-3240</t>
  </si>
  <si>
    <t>TXN-3241</t>
  </si>
  <si>
    <t>TXN-3242</t>
  </si>
  <si>
    <t>TXN-3243</t>
  </si>
  <si>
    <t>TXN-3244</t>
  </si>
  <si>
    <t>TXN-3245</t>
  </si>
  <si>
    <t>TXN-3246</t>
  </si>
  <si>
    <t>TXN-3247</t>
  </si>
  <si>
    <t>TXN-3248</t>
  </si>
  <si>
    <t>TXN-3249</t>
  </si>
  <si>
    <t>TXN-3250</t>
  </si>
  <si>
    <t>TXN-3251</t>
  </si>
  <si>
    <t>TXN-3252</t>
  </si>
  <si>
    <t>TXN-3253</t>
  </si>
  <si>
    <t>TXN-3254</t>
  </si>
  <si>
    <t>TXN-3255</t>
  </si>
  <si>
    <t>TXN-3256</t>
  </si>
  <si>
    <t>TXN-3257</t>
  </si>
  <si>
    <t>TXN-3258</t>
  </si>
  <si>
    <t>TXN-3259</t>
  </si>
  <si>
    <t>TXN-3260</t>
  </si>
  <si>
    <t>TXN-3261</t>
  </si>
  <si>
    <t>TXN-3262</t>
  </si>
  <si>
    <t>TXN-3263</t>
  </si>
  <si>
    <t>TXN-3264</t>
  </si>
  <si>
    <t>TXN-3265</t>
  </si>
  <si>
    <t>TXN-3266</t>
  </si>
  <si>
    <t>TXN-3267</t>
  </si>
  <si>
    <t>TXN-3268</t>
  </si>
  <si>
    <t>TXN-3269</t>
  </si>
  <si>
    <t>TXN-3270</t>
  </si>
  <si>
    <t>TXN-3271</t>
  </si>
  <si>
    <t>TXN-3272</t>
  </si>
  <si>
    <t>TXN-3273</t>
  </si>
  <si>
    <t>TXN-3274</t>
  </si>
  <si>
    <t>TXN-3275</t>
  </si>
  <si>
    <t>TXN-3276</t>
  </si>
  <si>
    <t>TXN-3277</t>
  </si>
  <si>
    <t>TXN-3278</t>
  </si>
  <si>
    <t>TXN-3279</t>
  </si>
  <si>
    <t>TXN-3280</t>
  </si>
  <si>
    <t>TXN-3281</t>
  </si>
  <si>
    <t>TXN-3282</t>
  </si>
  <si>
    <t>TXN-3283</t>
  </si>
  <si>
    <t>TXN-3284</t>
  </si>
  <si>
    <t>TXN-3285</t>
  </si>
  <si>
    <t>TXN-3286</t>
  </si>
  <si>
    <t>TXN-3287</t>
  </si>
  <si>
    <t>TXN-3288</t>
  </si>
  <si>
    <t>TXN-3289</t>
  </si>
  <si>
    <t>TXN-3290</t>
  </si>
  <si>
    <t>TXN-3291</t>
  </si>
  <si>
    <t>TXN-3292</t>
  </si>
  <si>
    <t>TXN-3293</t>
  </si>
  <si>
    <t>TXN-3294</t>
  </si>
  <si>
    <t>TXN-3295</t>
  </si>
  <si>
    <t>TXN-3296</t>
  </si>
  <si>
    <t>TXN-3297</t>
  </si>
  <si>
    <t>TXN-3298</t>
  </si>
  <si>
    <t>TXN-3299</t>
  </si>
  <si>
    <t>Sl. No.</t>
  </si>
  <si>
    <t>Question</t>
  </si>
  <si>
    <t>How many unique products were sold in the dataset?</t>
  </si>
  <si>
    <t>How many transactions were made from each country?</t>
  </si>
  <si>
    <t>What is the total revenue generated from each sales channel?</t>
  </si>
  <si>
    <t>What is the average net profit per transaction across all countries?</t>
  </si>
  <si>
    <t>Which department has the highest total revenue?</t>
  </si>
  <si>
    <t>Create a pivot table showing total revenue and total net profit by Industry and Department.</t>
  </si>
  <si>
    <t>Create a line chart showing the trend of daily total revenue.</t>
  </si>
  <si>
    <t>In which month was the highest total revenue recorded?</t>
  </si>
  <si>
    <t>Which country has the highest average revenue per transaction?</t>
  </si>
  <si>
    <t>Create a scatter plot of Revenue vs Net Profit to identify trends and outliers.</t>
  </si>
  <si>
    <t>Q2. How many transactions were made from each country?</t>
  </si>
  <si>
    <t>Row Labels</t>
  </si>
  <si>
    <t>Grand Total</t>
  </si>
  <si>
    <t>Count of Transaction ID</t>
  </si>
  <si>
    <t>Q3. What is the total revenue generated from each sales channel?</t>
  </si>
  <si>
    <t>Sum of Revenue</t>
  </si>
  <si>
    <t>Sum of Net Profit</t>
  </si>
  <si>
    <t>Average of Net Profit</t>
  </si>
  <si>
    <t>Q4.What is the average net profit per transaction across all countries?</t>
  </si>
  <si>
    <t>Q5. Which department has the highest total revenue?</t>
  </si>
  <si>
    <t>Q6. Create a pivot table showing total revenue and total net profit by Industry and Department.</t>
  </si>
  <si>
    <t>Q7. Create a line chart showing the trend of daily total revenue.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</si>
  <si>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</si>
  <si>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</si>
  <si>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</si>
  <si>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</si>
  <si>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</si>
  <si>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</si>
  <si>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</si>
  <si>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</si>
  <si>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</si>
  <si>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</si>
  <si>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Q8. In which month was the highest total revenue recorded?</t>
  </si>
  <si>
    <t>June</t>
  </si>
  <si>
    <t>Q9. Which country has the highest average revenue per transaction?</t>
  </si>
  <si>
    <t>Q10. Create a scatter plot of Revenue vs Net Profit to identify trends and outliers.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</si>
</sst>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7" formatCode="[$-14009]dddd\,\ d\ mmmm\,\ yyyy;@"/>
  </numFmts>
  <fonts count="1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rgb="FFFF0000"/>
      <name val="Calibri"/>
      <family val="2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 applyFont="1" applyAlignment="1"/>
    <xf numFmtId="0" fontId="2" fillId="2" borderId="1" xfId="0" applyFont="1" applyFill="1" applyBorder="1" applyAlignment="1">
      <alignment horizontal="center" vertical="center"/>
    </xf>
    <xf numFmtId="0" fontId="3" fillId="0" borderId="0" xfId="0" applyFont="1"/>
    <xf numFmtId="164" fontId="4" fillId="0" borderId="0" xfId="0" applyNumberFormat="1" applyFont="1"/>
    <xf numFmtId="0" fontId="5" fillId="0" borderId="0" xfId="0" applyFont="1" applyAlignment="1"/>
    <xf numFmtId="0" fontId="5" fillId="0" borderId="0" xfId="0" applyFont="1"/>
    <xf numFmtId="0" fontId="2" fillId="0" borderId="2" xfId="0" applyFont="1" applyBorder="1" applyAlignment="1">
      <alignment horizontal="center"/>
    </xf>
    <xf numFmtId="0" fontId="4" fillId="0" borderId="2" xfId="0" applyFont="1" applyBorder="1" applyAlignment="1"/>
    <xf numFmtId="0" fontId="2" fillId="0" borderId="2" xfId="0" applyFont="1" applyBorder="1" applyAlignment="1">
      <alignment horizontal="right"/>
    </xf>
    <xf numFmtId="0" fontId="2" fillId="0" borderId="2" xfId="0" applyFont="1" applyBorder="1" applyAlignment="1"/>
    <xf numFmtId="0" fontId="5" fillId="0" borderId="2" xfId="0" applyFont="1" applyBorder="1" applyAlignment="1"/>
    <xf numFmtId="0" fontId="5" fillId="0" borderId="2" xfId="0" applyFont="1" applyBorder="1"/>
    <xf numFmtId="0" fontId="4" fillId="0" borderId="0" xfId="0" applyFont="1" applyBorder="1" applyAlignment="1"/>
    <xf numFmtId="0" fontId="0" fillId="0" borderId="0" xfId="0" applyFont="1" applyBorder="1" applyAlignment="1"/>
    <xf numFmtId="0" fontId="5" fillId="0" borderId="0" xfId="0" applyFont="1" applyBorder="1"/>
    <xf numFmtId="0" fontId="0" fillId="0" borderId="0" xfId="0" applyFont="1" applyAlignment="1">
      <alignment horizontal="left"/>
    </xf>
    <xf numFmtId="0" fontId="0" fillId="0" borderId="0" xfId="0" applyNumberFormat="1" applyFont="1" applyAlignment="1"/>
    <xf numFmtId="0" fontId="6" fillId="3" borderId="3" xfId="0" applyFont="1" applyFill="1" applyBorder="1"/>
    <xf numFmtId="0" fontId="7" fillId="0" borderId="2" xfId="0" applyFont="1" applyBorder="1" applyAlignment="1"/>
    <xf numFmtId="0" fontId="6" fillId="0" borderId="0" xfId="0" applyFont="1" applyAlignment="1"/>
    <xf numFmtId="0" fontId="1" fillId="0" borderId="0" xfId="0" applyFont="1" applyAlignment="1"/>
    <xf numFmtId="0" fontId="0" fillId="4" borderId="0" xfId="0" applyFont="1" applyFill="1" applyAlignment="1"/>
    <xf numFmtId="0" fontId="1" fillId="4" borderId="0" xfId="0" applyFont="1" applyFill="1" applyAlignment="1"/>
    <xf numFmtId="0" fontId="8" fillId="4" borderId="2" xfId="0" applyFont="1" applyFill="1" applyBorder="1" applyAlignment="1"/>
    <xf numFmtId="0" fontId="6" fillId="3" borderId="4" xfId="0" applyFont="1" applyFill="1" applyBorder="1" applyAlignment="1">
      <alignment horizontal="left"/>
    </xf>
    <xf numFmtId="0" fontId="6" fillId="3" borderId="4" xfId="0" applyNumberFormat="1" applyFont="1" applyFill="1" applyBorder="1" applyAlignment="1"/>
    <xf numFmtId="0" fontId="6" fillId="3" borderId="3" xfId="0" applyFont="1" applyFill="1" applyBorder="1" applyAlignment="1"/>
    <xf numFmtId="0" fontId="0" fillId="0" borderId="5" xfId="0" pivotButton="1" applyFont="1" applyBorder="1" applyAlignment="1"/>
    <xf numFmtId="0" fontId="0" fillId="0" borderId="6" xfId="0" applyFont="1" applyBorder="1" applyAlignment="1"/>
    <xf numFmtId="0" fontId="0" fillId="0" borderId="7" xfId="0" applyFont="1" applyBorder="1" applyAlignment="1">
      <alignment horizontal="left"/>
    </xf>
    <xf numFmtId="0" fontId="0" fillId="0" borderId="8" xfId="0" applyNumberFormat="1" applyFont="1" applyBorder="1" applyAlignment="1"/>
    <xf numFmtId="0" fontId="0" fillId="0" borderId="9" xfId="0" applyFont="1" applyBorder="1" applyAlignment="1">
      <alignment horizontal="left"/>
    </xf>
    <xf numFmtId="0" fontId="0" fillId="0" borderId="10" xfId="0" applyNumberFormat="1" applyFont="1" applyBorder="1" applyAlignment="1"/>
    <xf numFmtId="0" fontId="0" fillId="0" borderId="0" xfId="0" applyNumberFormat="1" applyFont="1" applyBorder="1" applyAlignment="1"/>
    <xf numFmtId="0" fontId="0" fillId="0" borderId="11" xfId="0" applyFont="1" applyBorder="1" applyAlignment="1"/>
    <xf numFmtId="0" fontId="0" fillId="0" borderId="7" xfId="0" applyFont="1" applyBorder="1" applyAlignment="1">
      <alignment horizontal="left" indent="1"/>
    </xf>
    <xf numFmtId="0" fontId="0" fillId="0" borderId="12" xfId="0" applyNumberFormat="1" applyFont="1" applyBorder="1" applyAlignment="1"/>
    <xf numFmtId="0" fontId="9" fillId="0" borderId="0" xfId="0" applyFont="1" applyAlignment="1"/>
  </cellXfs>
  <cellStyles count="1">
    <cellStyle name="Normal" xfId="0" builtinId="0"/>
  </cellStyles>
  <dxfs count="165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/>
        <top/>
        <bottom/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/>
        <top/>
        <bottom/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/>
        <top/>
        <bottom/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/>
        <top/>
        <bottom/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Answers!$E$119</c:f>
              <c:strCache>
                <c:ptCount val="1"/>
                <c:pt idx="0">
                  <c:v>Sum of Net Profit</c:v>
                </c:pt>
              </c:strCache>
            </c:strRef>
          </c:tx>
          <c:spPr>
            <a:ln w="25400" cap="rnd">
              <a:noFill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strRef>
              <c:f>Answers!$D$120:$D$419</c:f>
              <c:strCache>
                <c:ptCount val="300"/>
                <c:pt idx="0">
                  <c:v>103.39</c:v>
                </c:pt>
                <c:pt idx="1">
                  <c:v>108.37</c:v>
                </c:pt>
                <c:pt idx="2">
                  <c:v>116.53</c:v>
                </c:pt>
                <c:pt idx="3">
                  <c:v>150.03</c:v>
                </c:pt>
                <c:pt idx="4">
                  <c:v>244.07</c:v>
                </c:pt>
                <c:pt idx="5">
                  <c:v>259.95</c:v>
                </c:pt>
                <c:pt idx="6">
                  <c:v>289.37</c:v>
                </c:pt>
                <c:pt idx="7">
                  <c:v>318.28</c:v>
                </c:pt>
                <c:pt idx="8">
                  <c:v>319.7</c:v>
                </c:pt>
                <c:pt idx="9">
                  <c:v>323.92</c:v>
                </c:pt>
                <c:pt idx="10">
                  <c:v>335.44</c:v>
                </c:pt>
                <c:pt idx="11">
                  <c:v>352.28</c:v>
                </c:pt>
                <c:pt idx="12">
                  <c:v>360.95</c:v>
                </c:pt>
                <c:pt idx="13">
                  <c:v>380</c:v>
                </c:pt>
                <c:pt idx="14">
                  <c:v>382.77</c:v>
                </c:pt>
                <c:pt idx="15">
                  <c:v>385.54</c:v>
                </c:pt>
                <c:pt idx="16">
                  <c:v>390.08</c:v>
                </c:pt>
                <c:pt idx="17">
                  <c:v>403.47</c:v>
                </c:pt>
                <c:pt idx="18">
                  <c:v>408.75</c:v>
                </c:pt>
                <c:pt idx="19">
                  <c:v>419.67</c:v>
                </c:pt>
                <c:pt idx="20">
                  <c:v>421.36</c:v>
                </c:pt>
                <c:pt idx="21">
                  <c:v>446.58</c:v>
                </c:pt>
                <c:pt idx="22">
                  <c:v>473.36</c:v>
                </c:pt>
                <c:pt idx="23">
                  <c:v>496.56</c:v>
                </c:pt>
                <c:pt idx="24">
                  <c:v>507.03</c:v>
                </c:pt>
                <c:pt idx="25">
                  <c:v>593.27</c:v>
                </c:pt>
                <c:pt idx="26">
                  <c:v>615.94</c:v>
                </c:pt>
                <c:pt idx="27">
                  <c:v>670.12</c:v>
                </c:pt>
                <c:pt idx="28">
                  <c:v>676.43</c:v>
                </c:pt>
                <c:pt idx="29">
                  <c:v>726.6</c:v>
                </c:pt>
                <c:pt idx="30">
                  <c:v>773.58</c:v>
                </c:pt>
                <c:pt idx="31">
                  <c:v>777.57</c:v>
                </c:pt>
                <c:pt idx="32">
                  <c:v>780.19</c:v>
                </c:pt>
                <c:pt idx="33">
                  <c:v>795.3</c:v>
                </c:pt>
                <c:pt idx="34">
                  <c:v>799.06</c:v>
                </c:pt>
                <c:pt idx="35">
                  <c:v>817.54</c:v>
                </c:pt>
                <c:pt idx="36">
                  <c:v>840.97</c:v>
                </c:pt>
                <c:pt idx="37">
                  <c:v>847.74</c:v>
                </c:pt>
                <c:pt idx="38">
                  <c:v>855.67</c:v>
                </c:pt>
                <c:pt idx="39">
                  <c:v>873.48</c:v>
                </c:pt>
                <c:pt idx="40">
                  <c:v>885.55</c:v>
                </c:pt>
                <c:pt idx="41">
                  <c:v>888.61</c:v>
                </c:pt>
                <c:pt idx="42">
                  <c:v>892.96</c:v>
                </c:pt>
                <c:pt idx="43">
                  <c:v>948.06</c:v>
                </c:pt>
                <c:pt idx="44">
                  <c:v>949.69</c:v>
                </c:pt>
                <c:pt idx="45">
                  <c:v>985.38</c:v>
                </c:pt>
                <c:pt idx="46">
                  <c:v>991.9</c:v>
                </c:pt>
                <c:pt idx="47">
                  <c:v>1014.95</c:v>
                </c:pt>
                <c:pt idx="48">
                  <c:v>1017.61</c:v>
                </c:pt>
                <c:pt idx="49">
                  <c:v>1021.42</c:v>
                </c:pt>
                <c:pt idx="50">
                  <c:v>1064.34</c:v>
                </c:pt>
                <c:pt idx="51">
                  <c:v>1071.95</c:v>
                </c:pt>
                <c:pt idx="52">
                  <c:v>1087.91</c:v>
                </c:pt>
                <c:pt idx="53">
                  <c:v>1090.92</c:v>
                </c:pt>
                <c:pt idx="54">
                  <c:v>1127.64</c:v>
                </c:pt>
                <c:pt idx="55">
                  <c:v>1143.99</c:v>
                </c:pt>
                <c:pt idx="56">
                  <c:v>1146.16</c:v>
                </c:pt>
                <c:pt idx="57">
                  <c:v>1174.34</c:v>
                </c:pt>
                <c:pt idx="58">
                  <c:v>1201.12</c:v>
                </c:pt>
                <c:pt idx="59">
                  <c:v>1202.65</c:v>
                </c:pt>
                <c:pt idx="60">
                  <c:v>1227.88</c:v>
                </c:pt>
                <c:pt idx="61">
                  <c:v>1228.8</c:v>
                </c:pt>
                <c:pt idx="62">
                  <c:v>1246.16</c:v>
                </c:pt>
                <c:pt idx="63">
                  <c:v>1254.24</c:v>
                </c:pt>
                <c:pt idx="64">
                  <c:v>1262.37</c:v>
                </c:pt>
                <c:pt idx="65">
                  <c:v>1265.06</c:v>
                </c:pt>
                <c:pt idx="66">
                  <c:v>1269.92</c:v>
                </c:pt>
                <c:pt idx="67">
                  <c:v>1275.39</c:v>
                </c:pt>
                <c:pt idx="68">
                  <c:v>1275.67</c:v>
                </c:pt>
                <c:pt idx="69">
                  <c:v>1287.34</c:v>
                </c:pt>
                <c:pt idx="70">
                  <c:v>1311.25</c:v>
                </c:pt>
                <c:pt idx="71">
                  <c:v>1343.04</c:v>
                </c:pt>
                <c:pt idx="72">
                  <c:v>1356.72</c:v>
                </c:pt>
                <c:pt idx="73">
                  <c:v>1364.8</c:v>
                </c:pt>
                <c:pt idx="74">
                  <c:v>1371.2</c:v>
                </c:pt>
                <c:pt idx="75">
                  <c:v>1375.75</c:v>
                </c:pt>
                <c:pt idx="76">
                  <c:v>1398.1</c:v>
                </c:pt>
                <c:pt idx="77">
                  <c:v>1420.08</c:v>
                </c:pt>
                <c:pt idx="78">
                  <c:v>1424.88</c:v>
                </c:pt>
                <c:pt idx="79">
                  <c:v>1433.41</c:v>
                </c:pt>
                <c:pt idx="80">
                  <c:v>1439.76</c:v>
                </c:pt>
                <c:pt idx="81">
                  <c:v>1494.81</c:v>
                </c:pt>
                <c:pt idx="82">
                  <c:v>1500.11</c:v>
                </c:pt>
                <c:pt idx="83">
                  <c:v>1539.36</c:v>
                </c:pt>
                <c:pt idx="84">
                  <c:v>1541.2</c:v>
                </c:pt>
                <c:pt idx="85">
                  <c:v>1564.26</c:v>
                </c:pt>
                <c:pt idx="86">
                  <c:v>1570.35</c:v>
                </c:pt>
                <c:pt idx="87">
                  <c:v>1574.5</c:v>
                </c:pt>
                <c:pt idx="88">
                  <c:v>1577.2</c:v>
                </c:pt>
                <c:pt idx="89">
                  <c:v>1597.03</c:v>
                </c:pt>
                <c:pt idx="90">
                  <c:v>1612.76</c:v>
                </c:pt>
                <c:pt idx="91">
                  <c:v>1622.71</c:v>
                </c:pt>
                <c:pt idx="92">
                  <c:v>1634.2</c:v>
                </c:pt>
                <c:pt idx="93">
                  <c:v>1656.87</c:v>
                </c:pt>
                <c:pt idx="94">
                  <c:v>1664.86</c:v>
                </c:pt>
                <c:pt idx="95">
                  <c:v>1677.62</c:v>
                </c:pt>
                <c:pt idx="96">
                  <c:v>1679.93</c:v>
                </c:pt>
                <c:pt idx="97">
                  <c:v>1697.98</c:v>
                </c:pt>
                <c:pt idx="98">
                  <c:v>1705.39</c:v>
                </c:pt>
                <c:pt idx="99">
                  <c:v>1725.08</c:v>
                </c:pt>
                <c:pt idx="100">
                  <c:v>1727.96</c:v>
                </c:pt>
                <c:pt idx="101">
                  <c:v>1759.71</c:v>
                </c:pt>
                <c:pt idx="102">
                  <c:v>1774.37</c:v>
                </c:pt>
                <c:pt idx="103">
                  <c:v>1782.78</c:v>
                </c:pt>
                <c:pt idx="104">
                  <c:v>1792.99</c:v>
                </c:pt>
                <c:pt idx="105">
                  <c:v>1836.94</c:v>
                </c:pt>
                <c:pt idx="106">
                  <c:v>1862.33</c:v>
                </c:pt>
                <c:pt idx="107">
                  <c:v>1912.5</c:v>
                </c:pt>
                <c:pt idx="108">
                  <c:v>1917.1</c:v>
                </c:pt>
                <c:pt idx="109">
                  <c:v>1977.1</c:v>
                </c:pt>
                <c:pt idx="110">
                  <c:v>1978.75</c:v>
                </c:pt>
                <c:pt idx="111">
                  <c:v>2001.15</c:v>
                </c:pt>
                <c:pt idx="112">
                  <c:v>2012.2</c:v>
                </c:pt>
                <c:pt idx="113">
                  <c:v>2017.15</c:v>
                </c:pt>
                <c:pt idx="114">
                  <c:v>2023.14</c:v>
                </c:pt>
                <c:pt idx="115">
                  <c:v>2025.03</c:v>
                </c:pt>
                <c:pt idx="116">
                  <c:v>2027.6</c:v>
                </c:pt>
                <c:pt idx="117">
                  <c:v>2035.07</c:v>
                </c:pt>
                <c:pt idx="118">
                  <c:v>2047.19</c:v>
                </c:pt>
                <c:pt idx="119">
                  <c:v>2061.21</c:v>
                </c:pt>
                <c:pt idx="120">
                  <c:v>2067.84</c:v>
                </c:pt>
                <c:pt idx="121">
                  <c:v>2103.28</c:v>
                </c:pt>
                <c:pt idx="122">
                  <c:v>2109</c:v>
                </c:pt>
                <c:pt idx="123">
                  <c:v>2109.76</c:v>
                </c:pt>
                <c:pt idx="124">
                  <c:v>2112.8</c:v>
                </c:pt>
                <c:pt idx="125">
                  <c:v>2145.14</c:v>
                </c:pt>
                <c:pt idx="126">
                  <c:v>2152.26</c:v>
                </c:pt>
                <c:pt idx="127">
                  <c:v>2182.26</c:v>
                </c:pt>
                <c:pt idx="128">
                  <c:v>2214.86</c:v>
                </c:pt>
                <c:pt idx="129">
                  <c:v>2229.78</c:v>
                </c:pt>
                <c:pt idx="130">
                  <c:v>2230.72</c:v>
                </c:pt>
                <c:pt idx="131">
                  <c:v>2234.99</c:v>
                </c:pt>
                <c:pt idx="132">
                  <c:v>2249.15</c:v>
                </c:pt>
                <c:pt idx="133">
                  <c:v>2300.19</c:v>
                </c:pt>
                <c:pt idx="134">
                  <c:v>2300.47</c:v>
                </c:pt>
                <c:pt idx="135">
                  <c:v>2311.41</c:v>
                </c:pt>
                <c:pt idx="136">
                  <c:v>2321.84</c:v>
                </c:pt>
                <c:pt idx="137">
                  <c:v>2332.11</c:v>
                </c:pt>
                <c:pt idx="138">
                  <c:v>2344.78</c:v>
                </c:pt>
                <c:pt idx="139">
                  <c:v>2345.29</c:v>
                </c:pt>
                <c:pt idx="140">
                  <c:v>2348.38</c:v>
                </c:pt>
                <c:pt idx="141">
                  <c:v>2349.66</c:v>
                </c:pt>
                <c:pt idx="142">
                  <c:v>2353.94</c:v>
                </c:pt>
                <c:pt idx="143">
                  <c:v>2359.85</c:v>
                </c:pt>
                <c:pt idx="144">
                  <c:v>2377.35</c:v>
                </c:pt>
                <c:pt idx="145">
                  <c:v>2408.79</c:v>
                </c:pt>
                <c:pt idx="146">
                  <c:v>2431.4</c:v>
                </c:pt>
                <c:pt idx="147">
                  <c:v>2448.29</c:v>
                </c:pt>
                <c:pt idx="148">
                  <c:v>2454.85</c:v>
                </c:pt>
                <c:pt idx="149">
                  <c:v>2501.59</c:v>
                </c:pt>
                <c:pt idx="150">
                  <c:v>2508.97</c:v>
                </c:pt>
                <c:pt idx="151">
                  <c:v>2523.6</c:v>
                </c:pt>
                <c:pt idx="152">
                  <c:v>2586.4</c:v>
                </c:pt>
                <c:pt idx="153">
                  <c:v>2595.06</c:v>
                </c:pt>
                <c:pt idx="154">
                  <c:v>2605.17</c:v>
                </c:pt>
                <c:pt idx="155">
                  <c:v>2630.52</c:v>
                </c:pt>
                <c:pt idx="156">
                  <c:v>2638.5</c:v>
                </c:pt>
                <c:pt idx="157">
                  <c:v>2639.03</c:v>
                </c:pt>
                <c:pt idx="158">
                  <c:v>2647.89</c:v>
                </c:pt>
                <c:pt idx="159">
                  <c:v>2709.13</c:v>
                </c:pt>
                <c:pt idx="160">
                  <c:v>2724.24</c:v>
                </c:pt>
                <c:pt idx="161">
                  <c:v>2727.33</c:v>
                </c:pt>
                <c:pt idx="162">
                  <c:v>2757.64</c:v>
                </c:pt>
                <c:pt idx="163">
                  <c:v>2760.62</c:v>
                </c:pt>
                <c:pt idx="164">
                  <c:v>2773.82</c:v>
                </c:pt>
                <c:pt idx="165">
                  <c:v>2780.68</c:v>
                </c:pt>
                <c:pt idx="166">
                  <c:v>2797.49</c:v>
                </c:pt>
                <c:pt idx="167">
                  <c:v>2801.47</c:v>
                </c:pt>
                <c:pt idx="168">
                  <c:v>2807.13</c:v>
                </c:pt>
                <c:pt idx="169">
                  <c:v>2812.08</c:v>
                </c:pt>
                <c:pt idx="170">
                  <c:v>2843.45</c:v>
                </c:pt>
                <c:pt idx="171">
                  <c:v>2873.07</c:v>
                </c:pt>
                <c:pt idx="172">
                  <c:v>2889.58</c:v>
                </c:pt>
                <c:pt idx="173">
                  <c:v>2898.69</c:v>
                </c:pt>
                <c:pt idx="174">
                  <c:v>2898.94</c:v>
                </c:pt>
                <c:pt idx="175">
                  <c:v>2900.34</c:v>
                </c:pt>
                <c:pt idx="176">
                  <c:v>2903.28</c:v>
                </c:pt>
                <c:pt idx="177">
                  <c:v>2908.35</c:v>
                </c:pt>
                <c:pt idx="178">
                  <c:v>2922.52</c:v>
                </c:pt>
                <c:pt idx="179">
                  <c:v>2927.06</c:v>
                </c:pt>
                <c:pt idx="180">
                  <c:v>2978.52</c:v>
                </c:pt>
                <c:pt idx="181">
                  <c:v>2990.93</c:v>
                </c:pt>
                <c:pt idx="182">
                  <c:v>3004.41</c:v>
                </c:pt>
                <c:pt idx="183">
                  <c:v>3020.49</c:v>
                </c:pt>
                <c:pt idx="184">
                  <c:v>3030.62</c:v>
                </c:pt>
                <c:pt idx="185">
                  <c:v>3037.84</c:v>
                </c:pt>
                <c:pt idx="186">
                  <c:v>3096.76</c:v>
                </c:pt>
                <c:pt idx="187">
                  <c:v>3130.42</c:v>
                </c:pt>
                <c:pt idx="188">
                  <c:v>3134.25</c:v>
                </c:pt>
                <c:pt idx="189">
                  <c:v>3151.63</c:v>
                </c:pt>
                <c:pt idx="190">
                  <c:v>3169.4</c:v>
                </c:pt>
                <c:pt idx="191">
                  <c:v>3186.43</c:v>
                </c:pt>
                <c:pt idx="192">
                  <c:v>3187.01</c:v>
                </c:pt>
                <c:pt idx="193">
                  <c:v>3188.83</c:v>
                </c:pt>
                <c:pt idx="194">
                  <c:v>3197.55</c:v>
                </c:pt>
                <c:pt idx="195">
                  <c:v>3213.28</c:v>
                </c:pt>
                <c:pt idx="196">
                  <c:v>3217.99</c:v>
                </c:pt>
                <c:pt idx="197">
                  <c:v>3219.5</c:v>
                </c:pt>
                <c:pt idx="198">
                  <c:v>3242.91</c:v>
                </c:pt>
                <c:pt idx="199">
                  <c:v>3256.03</c:v>
                </c:pt>
                <c:pt idx="200">
                  <c:v>3285.95</c:v>
                </c:pt>
                <c:pt idx="201">
                  <c:v>3324.74</c:v>
                </c:pt>
                <c:pt idx="202">
                  <c:v>3341.51</c:v>
                </c:pt>
                <c:pt idx="203">
                  <c:v>3393.15</c:v>
                </c:pt>
                <c:pt idx="204">
                  <c:v>3395.13</c:v>
                </c:pt>
                <c:pt idx="205">
                  <c:v>3395.4</c:v>
                </c:pt>
                <c:pt idx="206">
                  <c:v>3406.41</c:v>
                </c:pt>
                <c:pt idx="207">
                  <c:v>3485.81</c:v>
                </c:pt>
                <c:pt idx="208">
                  <c:v>3510</c:v>
                </c:pt>
                <c:pt idx="209">
                  <c:v>3514.78</c:v>
                </c:pt>
                <c:pt idx="210">
                  <c:v>3526.5</c:v>
                </c:pt>
                <c:pt idx="211">
                  <c:v>3530.56</c:v>
                </c:pt>
                <c:pt idx="212">
                  <c:v>3530.68</c:v>
                </c:pt>
                <c:pt idx="213">
                  <c:v>3530.81</c:v>
                </c:pt>
                <c:pt idx="214">
                  <c:v>3571.89</c:v>
                </c:pt>
                <c:pt idx="215">
                  <c:v>3602.98</c:v>
                </c:pt>
                <c:pt idx="216">
                  <c:v>3616.5</c:v>
                </c:pt>
                <c:pt idx="217">
                  <c:v>3621.62</c:v>
                </c:pt>
                <c:pt idx="218">
                  <c:v>3675.86</c:v>
                </c:pt>
                <c:pt idx="219">
                  <c:v>3691.17</c:v>
                </c:pt>
                <c:pt idx="220">
                  <c:v>3710.1</c:v>
                </c:pt>
                <c:pt idx="221">
                  <c:v>3720.21</c:v>
                </c:pt>
                <c:pt idx="222">
                  <c:v>3738.26</c:v>
                </c:pt>
                <c:pt idx="223">
                  <c:v>3739.51</c:v>
                </c:pt>
                <c:pt idx="224">
                  <c:v>3754.37</c:v>
                </c:pt>
                <c:pt idx="225">
                  <c:v>3759.55</c:v>
                </c:pt>
                <c:pt idx="226">
                  <c:v>3807.1</c:v>
                </c:pt>
                <c:pt idx="227">
                  <c:v>3823.67</c:v>
                </c:pt>
                <c:pt idx="228">
                  <c:v>3845.8</c:v>
                </c:pt>
                <c:pt idx="229">
                  <c:v>3845.88</c:v>
                </c:pt>
                <c:pt idx="230">
                  <c:v>3868.14</c:v>
                </c:pt>
                <c:pt idx="231">
                  <c:v>3871.03</c:v>
                </c:pt>
                <c:pt idx="232">
                  <c:v>3892.43</c:v>
                </c:pt>
                <c:pt idx="233">
                  <c:v>3912.56</c:v>
                </c:pt>
                <c:pt idx="234">
                  <c:v>3914.87</c:v>
                </c:pt>
                <c:pt idx="235">
                  <c:v>3933.13</c:v>
                </c:pt>
                <c:pt idx="236">
                  <c:v>3947.55</c:v>
                </c:pt>
                <c:pt idx="237">
                  <c:v>3948.24</c:v>
                </c:pt>
                <c:pt idx="238">
                  <c:v>3983.35</c:v>
                </c:pt>
                <c:pt idx="239">
                  <c:v>3996.64</c:v>
                </c:pt>
                <c:pt idx="240">
                  <c:v>3999.96</c:v>
                </c:pt>
                <c:pt idx="241">
                  <c:v>4003.4</c:v>
                </c:pt>
                <c:pt idx="242">
                  <c:v>4020.94</c:v>
                </c:pt>
                <c:pt idx="243">
                  <c:v>4030.62</c:v>
                </c:pt>
                <c:pt idx="244">
                  <c:v>4046.47</c:v>
                </c:pt>
                <c:pt idx="245">
                  <c:v>4050.6</c:v>
                </c:pt>
                <c:pt idx="246">
                  <c:v>4055.28</c:v>
                </c:pt>
                <c:pt idx="247">
                  <c:v>4065.84</c:v>
                </c:pt>
                <c:pt idx="248">
                  <c:v>4088.28</c:v>
                </c:pt>
                <c:pt idx="249">
                  <c:v>4089.82</c:v>
                </c:pt>
                <c:pt idx="250">
                  <c:v>4105.67</c:v>
                </c:pt>
                <c:pt idx="251">
                  <c:v>4108.38</c:v>
                </c:pt>
                <c:pt idx="252">
                  <c:v>4112.04</c:v>
                </c:pt>
                <c:pt idx="253">
                  <c:v>4115.42</c:v>
                </c:pt>
                <c:pt idx="254">
                  <c:v>4124.94</c:v>
                </c:pt>
                <c:pt idx="255">
                  <c:v>4131.58</c:v>
                </c:pt>
                <c:pt idx="256">
                  <c:v>4147.01</c:v>
                </c:pt>
                <c:pt idx="257">
                  <c:v>4150.29</c:v>
                </c:pt>
                <c:pt idx="258">
                  <c:v>4153.82</c:v>
                </c:pt>
                <c:pt idx="259">
                  <c:v>4185.56</c:v>
                </c:pt>
                <c:pt idx="260">
                  <c:v>4199.55</c:v>
                </c:pt>
                <c:pt idx="261">
                  <c:v>4208.99</c:v>
                </c:pt>
                <c:pt idx="262">
                  <c:v>4241.31</c:v>
                </c:pt>
                <c:pt idx="263">
                  <c:v>4277.74</c:v>
                </c:pt>
                <c:pt idx="264">
                  <c:v>4292.24</c:v>
                </c:pt>
                <c:pt idx="265">
                  <c:v>4299.41</c:v>
                </c:pt>
                <c:pt idx="266">
                  <c:v>4347.99</c:v>
                </c:pt>
                <c:pt idx="267">
                  <c:v>4371.23</c:v>
                </c:pt>
                <c:pt idx="268">
                  <c:v>4378.62</c:v>
                </c:pt>
                <c:pt idx="269">
                  <c:v>4389.95</c:v>
                </c:pt>
                <c:pt idx="270">
                  <c:v>4408.01</c:v>
                </c:pt>
                <c:pt idx="271">
                  <c:v>4420.87</c:v>
                </c:pt>
                <c:pt idx="272">
                  <c:v>4437.19</c:v>
                </c:pt>
                <c:pt idx="273">
                  <c:v>4437.64</c:v>
                </c:pt>
                <c:pt idx="274">
                  <c:v>4441.21</c:v>
                </c:pt>
                <c:pt idx="275">
                  <c:v>4479.21</c:v>
                </c:pt>
                <c:pt idx="276">
                  <c:v>4563.37</c:v>
                </c:pt>
                <c:pt idx="277">
                  <c:v>4573.6</c:v>
                </c:pt>
                <c:pt idx="278">
                  <c:v>4589.15</c:v>
                </c:pt>
                <c:pt idx="279">
                  <c:v>4619.41</c:v>
                </c:pt>
                <c:pt idx="280">
                  <c:v>4627.17</c:v>
                </c:pt>
                <c:pt idx="281">
                  <c:v>4664.36</c:v>
                </c:pt>
                <c:pt idx="282">
                  <c:v>4669.25</c:v>
                </c:pt>
                <c:pt idx="283">
                  <c:v>4672.98</c:v>
                </c:pt>
                <c:pt idx="284">
                  <c:v>4682.07</c:v>
                </c:pt>
                <c:pt idx="285">
                  <c:v>4691.76</c:v>
                </c:pt>
                <c:pt idx="286">
                  <c:v>4692.04</c:v>
                </c:pt>
                <c:pt idx="287">
                  <c:v>4698.39</c:v>
                </c:pt>
                <c:pt idx="288">
                  <c:v>4761.1</c:v>
                </c:pt>
                <c:pt idx="289">
                  <c:v>4804.46</c:v>
                </c:pt>
                <c:pt idx="290">
                  <c:v>4860.73</c:v>
                </c:pt>
                <c:pt idx="291">
                  <c:v>4873.53</c:v>
                </c:pt>
                <c:pt idx="292">
                  <c:v>4874.84</c:v>
                </c:pt>
                <c:pt idx="293">
                  <c:v>4921.09</c:v>
                </c:pt>
                <c:pt idx="294">
                  <c:v>4937.51</c:v>
                </c:pt>
                <c:pt idx="295">
                  <c:v>4949.51</c:v>
                </c:pt>
                <c:pt idx="296">
                  <c:v>4962.73</c:v>
                </c:pt>
                <c:pt idx="297">
                  <c:v>4967.83</c:v>
                </c:pt>
                <c:pt idx="298">
                  <c:v>4998.69</c:v>
                </c:pt>
                <c:pt idx="299">
                  <c:v>Grand Total</c:v>
                </c:pt>
              </c:strCache>
            </c:strRef>
          </c:xVal>
          <c:yVal>
            <c:numRef>
              <c:f>Answers!$E$120:$E$419</c:f>
              <c:numCache>
                <c:formatCode>General</c:formatCode>
                <c:ptCount val="300"/>
                <c:pt idx="0">
                  <c:v>991.59</c:v>
                </c:pt>
                <c:pt idx="1">
                  <c:v>1181.92</c:v>
                </c:pt>
                <c:pt idx="2">
                  <c:v>-4.55</c:v>
                </c:pt>
                <c:pt idx="3">
                  <c:v>646.44000000000005</c:v>
                </c:pt>
                <c:pt idx="4">
                  <c:v>196.13</c:v>
                </c:pt>
                <c:pt idx="5">
                  <c:v>1225.1400000000001</c:v>
                </c:pt>
                <c:pt idx="6">
                  <c:v>-38.93</c:v>
                </c:pt>
                <c:pt idx="7">
                  <c:v>-171.29</c:v>
                </c:pt>
                <c:pt idx="8">
                  <c:v>-204.43</c:v>
                </c:pt>
                <c:pt idx="9">
                  <c:v>162.68</c:v>
                </c:pt>
                <c:pt idx="10">
                  <c:v>740.49</c:v>
                </c:pt>
                <c:pt idx="11">
                  <c:v>118.77</c:v>
                </c:pt>
                <c:pt idx="12">
                  <c:v>1216.74</c:v>
                </c:pt>
                <c:pt idx="13">
                  <c:v>169.77</c:v>
                </c:pt>
                <c:pt idx="14">
                  <c:v>454.86</c:v>
                </c:pt>
                <c:pt idx="15">
                  <c:v>1209</c:v>
                </c:pt>
                <c:pt idx="16">
                  <c:v>569.03</c:v>
                </c:pt>
                <c:pt idx="17">
                  <c:v>720.93</c:v>
                </c:pt>
                <c:pt idx="18">
                  <c:v>147.11000000000001</c:v>
                </c:pt>
                <c:pt idx="19">
                  <c:v>1330.95</c:v>
                </c:pt>
                <c:pt idx="20">
                  <c:v>-187.08</c:v>
                </c:pt>
                <c:pt idx="21">
                  <c:v>371.6</c:v>
                </c:pt>
                <c:pt idx="22">
                  <c:v>-257.79000000000002</c:v>
                </c:pt>
                <c:pt idx="23">
                  <c:v>1125.8</c:v>
                </c:pt>
                <c:pt idx="24">
                  <c:v>-2.96</c:v>
                </c:pt>
                <c:pt idx="25">
                  <c:v>1150.48</c:v>
                </c:pt>
                <c:pt idx="26">
                  <c:v>225.04</c:v>
                </c:pt>
                <c:pt idx="27">
                  <c:v>-108.02</c:v>
                </c:pt>
                <c:pt idx="28">
                  <c:v>616.79</c:v>
                </c:pt>
                <c:pt idx="29">
                  <c:v>-191.82</c:v>
                </c:pt>
                <c:pt idx="30">
                  <c:v>911.61</c:v>
                </c:pt>
                <c:pt idx="31">
                  <c:v>42.95</c:v>
                </c:pt>
                <c:pt idx="32">
                  <c:v>1223.27</c:v>
                </c:pt>
                <c:pt idx="33">
                  <c:v>1190.31</c:v>
                </c:pt>
                <c:pt idx="34">
                  <c:v>269.97000000000003</c:v>
                </c:pt>
                <c:pt idx="35">
                  <c:v>470.64</c:v>
                </c:pt>
                <c:pt idx="36">
                  <c:v>877.95</c:v>
                </c:pt>
                <c:pt idx="37">
                  <c:v>895.86</c:v>
                </c:pt>
                <c:pt idx="38">
                  <c:v>2057.0300000000002</c:v>
                </c:pt>
                <c:pt idx="39">
                  <c:v>646.84</c:v>
                </c:pt>
                <c:pt idx="40">
                  <c:v>911.98</c:v>
                </c:pt>
                <c:pt idx="41">
                  <c:v>200.69</c:v>
                </c:pt>
                <c:pt idx="42">
                  <c:v>-67.7</c:v>
                </c:pt>
                <c:pt idx="43">
                  <c:v>1332.33</c:v>
                </c:pt>
                <c:pt idx="44">
                  <c:v>635.89</c:v>
                </c:pt>
                <c:pt idx="45">
                  <c:v>1239.8499999999999</c:v>
                </c:pt>
                <c:pt idx="46">
                  <c:v>443.9</c:v>
                </c:pt>
                <c:pt idx="47">
                  <c:v>537.29</c:v>
                </c:pt>
                <c:pt idx="48">
                  <c:v>1153.6500000000001</c:v>
                </c:pt>
                <c:pt idx="49">
                  <c:v>73.05</c:v>
                </c:pt>
                <c:pt idx="50">
                  <c:v>-175.88</c:v>
                </c:pt>
                <c:pt idx="51">
                  <c:v>-250.29</c:v>
                </c:pt>
                <c:pt idx="52">
                  <c:v>94.83</c:v>
                </c:pt>
                <c:pt idx="53">
                  <c:v>270.83999999999997</c:v>
                </c:pt>
                <c:pt idx="54">
                  <c:v>264.95</c:v>
                </c:pt>
                <c:pt idx="55">
                  <c:v>473.61</c:v>
                </c:pt>
                <c:pt idx="56">
                  <c:v>-253.85</c:v>
                </c:pt>
                <c:pt idx="57">
                  <c:v>168.72</c:v>
                </c:pt>
                <c:pt idx="58">
                  <c:v>171.36</c:v>
                </c:pt>
                <c:pt idx="59">
                  <c:v>1254.3499999999999</c:v>
                </c:pt>
                <c:pt idx="60">
                  <c:v>220.18</c:v>
                </c:pt>
                <c:pt idx="61">
                  <c:v>972.92</c:v>
                </c:pt>
                <c:pt idx="62">
                  <c:v>1272.49</c:v>
                </c:pt>
                <c:pt idx="63">
                  <c:v>815.02</c:v>
                </c:pt>
                <c:pt idx="64">
                  <c:v>80.040000000000006</c:v>
                </c:pt>
                <c:pt idx="65">
                  <c:v>-246.9</c:v>
                </c:pt>
                <c:pt idx="66">
                  <c:v>849.31</c:v>
                </c:pt>
                <c:pt idx="67">
                  <c:v>839.68</c:v>
                </c:pt>
                <c:pt idx="68">
                  <c:v>106.73</c:v>
                </c:pt>
                <c:pt idx="69">
                  <c:v>1486.5</c:v>
                </c:pt>
                <c:pt idx="70">
                  <c:v>-83.7</c:v>
                </c:pt>
                <c:pt idx="71">
                  <c:v>1082.71</c:v>
                </c:pt>
                <c:pt idx="72">
                  <c:v>1292.5899999999999</c:v>
                </c:pt>
                <c:pt idx="73">
                  <c:v>700.61</c:v>
                </c:pt>
                <c:pt idx="74">
                  <c:v>-80.06</c:v>
                </c:pt>
                <c:pt idx="75">
                  <c:v>236.69</c:v>
                </c:pt>
                <c:pt idx="76">
                  <c:v>102.5</c:v>
                </c:pt>
                <c:pt idx="77">
                  <c:v>469.39</c:v>
                </c:pt>
                <c:pt idx="78">
                  <c:v>1368.71</c:v>
                </c:pt>
                <c:pt idx="79">
                  <c:v>451.32</c:v>
                </c:pt>
                <c:pt idx="80">
                  <c:v>640.96</c:v>
                </c:pt>
                <c:pt idx="81">
                  <c:v>384.19</c:v>
                </c:pt>
                <c:pt idx="82">
                  <c:v>595.77</c:v>
                </c:pt>
                <c:pt idx="83">
                  <c:v>383.31</c:v>
                </c:pt>
                <c:pt idx="84">
                  <c:v>1019.79</c:v>
                </c:pt>
                <c:pt idx="85">
                  <c:v>348.68</c:v>
                </c:pt>
                <c:pt idx="86">
                  <c:v>1250.97</c:v>
                </c:pt>
                <c:pt idx="87">
                  <c:v>1093.93</c:v>
                </c:pt>
                <c:pt idx="88">
                  <c:v>765.58</c:v>
                </c:pt>
                <c:pt idx="89">
                  <c:v>1325.29</c:v>
                </c:pt>
                <c:pt idx="90">
                  <c:v>667</c:v>
                </c:pt>
                <c:pt idx="91">
                  <c:v>962.33</c:v>
                </c:pt>
                <c:pt idx="92">
                  <c:v>1341.12</c:v>
                </c:pt>
                <c:pt idx="93">
                  <c:v>105.55</c:v>
                </c:pt>
                <c:pt idx="94">
                  <c:v>-131.13</c:v>
                </c:pt>
                <c:pt idx="95">
                  <c:v>697.41</c:v>
                </c:pt>
                <c:pt idx="96">
                  <c:v>635.98</c:v>
                </c:pt>
                <c:pt idx="97">
                  <c:v>49.21</c:v>
                </c:pt>
                <c:pt idx="98">
                  <c:v>1378.96</c:v>
                </c:pt>
                <c:pt idx="99">
                  <c:v>106.37</c:v>
                </c:pt>
                <c:pt idx="100">
                  <c:v>940.34</c:v>
                </c:pt>
                <c:pt idx="101">
                  <c:v>1423.88</c:v>
                </c:pt>
                <c:pt idx="102">
                  <c:v>226.36</c:v>
                </c:pt>
                <c:pt idx="103">
                  <c:v>1214.45</c:v>
                </c:pt>
                <c:pt idx="104">
                  <c:v>-12.12</c:v>
                </c:pt>
                <c:pt idx="105">
                  <c:v>806.97</c:v>
                </c:pt>
                <c:pt idx="106">
                  <c:v>1176.4100000000001</c:v>
                </c:pt>
                <c:pt idx="107">
                  <c:v>746.22</c:v>
                </c:pt>
                <c:pt idx="108">
                  <c:v>1266.53</c:v>
                </c:pt>
                <c:pt idx="109">
                  <c:v>-236.52</c:v>
                </c:pt>
                <c:pt idx="110">
                  <c:v>1160.56</c:v>
                </c:pt>
                <c:pt idx="111">
                  <c:v>1136.6500000000001</c:v>
                </c:pt>
                <c:pt idx="112">
                  <c:v>768.83</c:v>
                </c:pt>
                <c:pt idx="113">
                  <c:v>242.17</c:v>
                </c:pt>
                <c:pt idx="114">
                  <c:v>421.71</c:v>
                </c:pt>
                <c:pt idx="115">
                  <c:v>662.98</c:v>
                </c:pt>
                <c:pt idx="116">
                  <c:v>1449.62</c:v>
                </c:pt>
                <c:pt idx="117">
                  <c:v>893.74</c:v>
                </c:pt>
                <c:pt idx="118">
                  <c:v>1162.03</c:v>
                </c:pt>
                <c:pt idx="119">
                  <c:v>177.42</c:v>
                </c:pt>
                <c:pt idx="120">
                  <c:v>-211.83</c:v>
                </c:pt>
                <c:pt idx="121">
                  <c:v>1009.03</c:v>
                </c:pt>
                <c:pt idx="122">
                  <c:v>451.5</c:v>
                </c:pt>
                <c:pt idx="123">
                  <c:v>1495.82</c:v>
                </c:pt>
                <c:pt idx="124">
                  <c:v>1159.47</c:v>
                </c:pt>
                <c:pt idx="125">
                  <c:v>1383.02</c:v>
                </c:pt>
                <c:pt idx="126">
                  <c:v>1286.18</c:v>
                </c:pt>
                <c:pt idx="127">
                  <c:v>-287.76</c:v>
                </c:pt>
                <c:pt idx="128">
                  <c:v>788.22</c:v>
                </c:pt>
                <c:pt idx="129">
                  <c:v>110.46</c:v>
                </c:pt>
                <c:pt idx="130">
                  <c:v>986.89</c:v>
                </c:pt>
                <c:pt idx="131">
                  <c:v>339.67</c:v>
                </c:pt>
                <c:pt idx="132">
                  <c:v>1245.27</c:v>
                </c:pt>
                <c:pt idx="133">
                  <c:v>818.69</c:v>
                </c:pt>
                <c:pt idx="134">
                  <c:v>-61.94</c:v>
                </c:pt>
                <c:pt idx="135">
                  <c:v>982.13</c:v>
                </c:pt>
                <c:pt idx="136">
                  <c:v>365.59</c:v>
                </c:pt>
                <c:pt idx="137">
                  <c:v>367.15</c:v>
                </c:pt>
                <c:pt idx="138">
                  <c:v>1162.69</c:v>
                </c:pt>
                <c:pt idx="139">
                  <c:v>-219.12</c:v>
                </c:pt>
                <c:pt idx="140">
                  <c:v>129.04</c:v>
                </c:pt>
                <c:pt idx="141">
                  <c:v>420.61</c:v>
                </c:pt>
                <c:pt idx="142">
                  <c:v>-168.69</c:v>
                </c:pt>
                <c:pt idx="143">
                  <c:v>-256</c:v>
                </c:pt>
                <c:pt idx="144">
                  <c:v>-216.07</c:v>
                </c:pt>
                <c:pt idx="145">
                  <c:v>-163.12</c:v>
                </c:pt>
                <c:pt idx="146">
                  <c:v>880.09</c:v>
                </c:pt>
                <c:pt idx="147">
                  <c:v>801.03</c:v>
                </c:pt>
                <c:pt idx="148">
                  <c:v>-156.56</c:v>
                </c:pt>
                <c:pt idx="149">
                  <c:v>451.86</c:v>
                </c:pt>
                <c:pt idx="150">
                  <c:v>1189.96</c:v>
                </c:pt>
                <c:pt idx="151">
                  <c:v>-9.5299999999999994</c:v>
                </c:pt>
                <c:pt idx="152">
                  <c:v>-103.86</c:v>
                </c:pt>
                <c:pt idx="153">
                  <c:v>493.35</c:v>
                </c:pt>
                <c:pt idx="154">
                  <c:v>1091.93</c:v>
                </c:pt>
                <c:pt idx="155">
                  <c:v>-286.64</c:v>
                </c:pt>
                <c:pt idx="156">
                  <c:v>1240.08</c:v>
                </c:pt>
                <c:pt idx="157">
                  <c:v>-1.68</c:v>
                </c:pt>
                <c:pt idx="158">
                  <c:v>650.53</c:v>
                </c:pt>
                <c:pt idx="159">
                  <c:v>1094.52</c:v>
                </c:pt>
                <c:pt idx="160">
                  <c:v>-9.56</c:v>
                </c:pt>
                <c:pt idx="161">
                  <c:v>1093.08</c:v>
                </c:pt>
                <c:pt idx="162">
                  <c:v>407.02</c:v>
                </c:pt>
                <c:pt idx="163">
                  <c:v>128.63</c:v>
                </c:pt>
                <c:pt idx="164">
                  <c:v>772.59</c:v>
                </c:pt>
                <c:pt idx="165">
                  <c:v>79.8</c:v>
                </c:pt>
                <c:pt idx="166">
                  <c:v>1094.23</c:v>
                </c:pt>
                <c:pt idx="167">
                  <c:v>203.14</c:v>
                </c:pt>
                <c:pt idx="168">
                  <c:v>1384.88</c:v>
                </c:pt>
                <c:pt idx="169">
                  <c:v>224.41</c:v>
                </c:pt>
                <c:pt idx="170">
                  <c:v>1138.42</c:v>
                </c:pt>
                <c:pt idx="171">
                  <c:v>1344.56</c:v>
                </c:pt>
                <c:pt idx="172">
                  <c:v>522.49</c:v>
                </c:pt>
                <c:pt idx="173">
                  <c:v>840.08</c:v>
                </c:pt>
                <c:pt idx="174">
                  <c:v>851.91</c:v>
                </c:pt>
                <c:pt idx="175">
                  <c:v>472.25</c:v>
                </c:pt>
                <c:pt idx="176">
                  <c:v>562.79999999999995</c:v>
                </c:pt>
                <c:pt idx="177">
                  <c:v>18.87</c:v>
                </c:pt>
                <c:pt idx="178">
                  <c:v>278.93</c:v>
                </c:pt>
                <c:pt idx="179">
                  <c:v>-185.23</c:v>
                </c:pt>
                <c:pt idx="180">
                  <c:v>791.17</c:v>
                </c:pt>
                <c:pt idx="181">
                  <c:v>-21.57</c:v>
                </c:pt>
                <c:pt idx="182">
                  <c:v>659.8</c:v>
                </c:pt>
                <c:pt idx="183">
                  <c:v>-189.98</c:v>
                </c:pt>
                <c:pt idx="184">
                  <c:v>795.26</c:v>
                </c:pt>
                <c:pt idx="185">
                  <c:v>-235.19</c:v>
                </c:pt>
                <c:pt idx="186">
                  <c:v>472.07</c:v>
                </c:pt>
                <c:pt idx="187">
                  <c:v>418.88</c:v>
                </c:pt>
                <c:pt idx="188">
                  <c:v>694.47</c:v>
                </c:pt>
                <c:pt idx="189">
                  <c:v>168.38</c:v>
                </c:pt>
                <c:pt idx="190">
                  <c:v>406.68</c:v>
                </c:pt>
                <c:pt idx="191">
                  <c:v>-224.36</c:v>
                </c:pt>
                <c:pt idx="192">
                  <c:v>1013.22</c:v>
                </c:pt>
                <c:pt idx="193">
                  <c:v>178.82</c:v>
                </c:pt>
                <c:pt idx="194">
                  <c:v>1493.79</c:v>
                </c:pt>
                <c:pt idx="195">
                  <c:v>1409.83</c:v>
                </c:pt>
                <c:pt idx="196">
                  <c:v>-260.95</c:v>
                </c:pt>
                <c:pt idx="197">
                  <c:v>794.31</c:v>
                </c:pt>
                <c:pt idx="198">
                  <c:v>741.16</c:v>
                </c:pt>
                <c:pt idx="199">
                  <c:v>-71.099999999999994</c:v>
                </c:pt>
                <c:pt idx="200">
                  <c:v>777.68</c:v>
                </c:pt>
                <c:pt idx="201">
                  <c:v>-66.69</c:v>
                </c:pt>
                <c:pt idx="202">
                  <c:v>448.63</c:v>
                </c:pt>
                <c:pt idx="203">
                  <c:v>1031.54</c:v>
                </c:pt>
                <c:pt idx="204">
                  <c:v>-76.040000000000006</c:v>
                </c:pt>
                <c:pt idx="205">
                  <c:v>1308.47</c:v>
                </c:pt>
                <c:pt idx="206">
                  <c:v>494.75</c:v>
                </c:pt>
                <c:pt idx="207">
                  <c:v>945.46</c:v>
                </c:pt>
                <c:pt idx="208">
                  <c:v>-207.2</c:v>
                </c:pt>
                <c:pt idx="209">
                  <c:v>-260.74</c:v>
                </c:pt>
                <c:pt idx="210">
                  <c:v>920.7</c:v>
                </c:pt>
                <c:pt idx="211">
                  <c:v>1303.93</c:v>
                </c:pt>
                <c:pt idx="212">
                  <c:v>479.4</c:v>
                </c:pt>
                <c:pt idx="213">
                  <c:v>497.97</c:v>
                </c:pt>
                <c:pt idx="214">
                  <c:v>-69.33</c:v>
                </c:pt>
                <c:pt idx="215">
                  <c:v>917.2</c:v>
                </c:pt>
                <c:pt idx="216">
                  <c:v>960.01</c:v>
                </c:pt>
                <c:pt idx="217">
                  <c:v>-167.73</c:v>
                </c:pt>
                <c:pt idx="218">
                  <c:v>649.64</c:v>
                </c:pt>
                <c:pt idx="219">
                  <c:v>897.02</c:v>
                </c:pt>
                <c:pt idx="220">
                  <c:v>929.69</c:v>
                </c:pt>
                <c:pt idx="221">
                  <c:v>-232.89</c:v>
                </c:pt>
                <c:pt idx="222">
                  <c:v>1093.76</c:v>
                </c:pt>
                <c:pt idx="223">
                  <c:v>1420.2</c:v>
                </c:pt>
                <c:pt idx="224">
                  <c:v>950.11</c:v>
                </c:pt>
                <c:pt idx="225">
                  <c:v>959.31</c:v>
                </c:pt>
                <c:pt idx="226">
                  <c:v>463.26</c:v>
                </c:pt>
                <c:pt idx="227">
                  <c:v>-124.53</c:v>
                </c:pt>
                <c:pt idx="228">
                  <c:v>819.31</c:v>
                </c:pt>
                <c:pt idx="229">
                  <c:v>716.39</c:v>
                </c:pt>
                <c:pt idx="230">
                  <c:v>871.24</c:v>
                </c:pt>
                <c:pt idx="231">
                  <c:v>-73.11</c:v>
                </c:pt>
                <c:pt idx="232">
                  <c:v>-56.75</c:v>
                </c:pt>
                <c:pt idx="233">
                  <c:v>901.52</c:v>
                </c:pt>
                <c:pt idx="234">
                  <c:v>488.64</c:v>
                </c:pt>
                <c:pt idx="235">
                  <c:v>-287.70999999999998</c:v>
                </c:pt>
                <c:pt idx="236">
                  <c:v>964.42</c:v>
                </c:pt>
                <c:pt idx="237">
                  <c:v>-117.4</c:v>
                </c:pt>
                <c:pt idx="238">
                  <c:v>-167.66</c:v>
                </c:pt>
                <c:pt idx="239">
                  <c:v>-283.86</c:v>
                </c:pt>
                <c:pt idx="240">
                  <c:v>961.74</c:v>
                </c:pt>
                <c:pt idx="241">
                  <c:v>1397.74</c:v>
                </c:pt>
                <c:pt idx="242">
                  <c:v>477.29</c:v>
                </c:pt>
                <c:pt idx="243">
                  <c:v>-237.05</c:v>
                </c:pt>
                <c:pt idx="244">
                  <c:v>672.47</c:v>
                </c:pt>
                <c:pt idx="245">
                  <c:v>1064.6600000000001</c:v>
                </c:pt>
                <c:pt idx="246">
                  <c:v>1285.74</c:v>
                </c:pt>
                <c:pt idx="247">
                  <c:v>304.37</c:v>
                </c:pt>
                <c:pt idx="248">
                  <c:v>955.93</c:v>
                </c:pt>
                <c:pt idx="249">
                  <c:v>669.19</c:v>
                </c:pt>
                <c:pt idx="250">
                  <c:v>1336.06</c:v>
                </c:pt>
                <c:pt idx="251">
                  <c:v>830.63</c:v>
                </c:pt>
                <c:pt idx="252">
                  <c:v>1472.13</c:v>
                </c:pt>
                <c:pt idx="253">
                  <c:v>71.92</c:v>
                </c:pt>
                <c:pt idx="254">
                  <c:v>1323.47</c:v>
                </c:pt>
                <c:pt idx="255">
                  <c:v>-155.88</c:v>
                </c:pt>
                <c:pt idx="256">
                  <c:v>1329.64</c:v>
                </c:pt>
                <c:pt idx="257">
                  <c:v>1479.39</c:v>
                </c:pt>
                <c:pt idx="258">
                  <c:v>800.53</c:v>
                </c:pt>
                <c:pt idx="259">
                  <c:v>1060.82</c:v>
                </c:pt>
                <c:pt idx="260">
                  <c:v>794.25</c:v>
                </c:pt>
                <c:pt idx="261">
                  <c:v>315.27999999999997</c:v>
                </c:pt>
                <c:pt idx="262">
                  <c:v>1072.27</c:v>
                </c:pt>
                <c:pt idx="263">
                  <c:v>-9</c:v>
                </c:pt>
                <c:pt idx="264">
                  <c:v>910.62</c:v>
                </c:pt>
                <c:pt idx="265">
                  <c:v>282.02</c:v>
                </c:pt>
                <c:pt idx="266">
                  <c:v>182.08</c:v>
                </c:pt>
                <c:pt idx="267">
                  <c:v>1267.23</c:v>
                </c:pt>
                <c:pt idx="268">
                  <c:v>82.8</c:v>
                </c:pt>
                <c:pt idx="269">
                  <c:v>67.06</c:v>
                </c:pt>
                <c:pt idx="270">
                  <c:v>624.63</c:v>
                </c:pt>
                <c:pt idx="271">
                  <c:v>-94.12</c:v>
                </c:pt>
                <c:pt idx="272">
                  <c:v>1248.95</c:v>
                </c:pt>
                <c:pt idx="273">
                  <c:v>1168.52</c:v>
                </c:pt>
                <c:pt idx="274">
                  <c:v>-36.68</c:v>
                </c:pt>
                <c:pt idx="275">
                  <c:v>700.69</c:v>
                </c:pt>
                <c:pt idx="276">
                  <c:v>15.32</c:v>
                </c:pt>
                <c:pt idx="277">
                  <c:v>1081.6400000000001</c:v>
                </c:pt>
                <c:pt idx="278">
                  <c:v>-179.92</c:v>
                </c:pt>
                <c:pt idx="279">
                  <c:v>952.68</c:v>
                </c:pt>
                <c:pt idx="280">
                  <c:v>-199.78</c:v>
                </c:pt>
                <c:pt idx="281">
                  <c:v>676.07</c:v>
                </c:pt>
                <c:pt idx="282">
                  <c:v>-171.26</c:v>
                </c:pt>
                <c:pt idx="283">
                  <c:v>724.14</c:v>
                </c:pt>
                <c:pt idx="284">
                  <c:v>284.56</c:v>
                </c:pt>
                <c:pt idx="285">
                  <c:v>1104.72</c:v>
                </c:pt>
                <c:pt idx="286">
                  <c:v>1243.4100000000001</c:v>
                </c:pt>
                <c:pt idx="287">
                  <c:v>149.08000000000001</c:v>
                </c:pt>
                <c:pt idx="288">
                  <c:v>528.9</c:v>
                </c:pt>
                <c:pt idx="289">
                  <c:v>1428.06</c:v>
                </c:pt>
                <c:pt idx="290">
                  <c:v>656.01</c:v>
                </c:pt>
                <c:pt idx="291">
                  <c:v>6.15</c:v>
                </c:pt>
                <c:pt idx="292">
                  <c:v>1062.71</c:v>
                </c:pt>
                <c:pt idx="293">
                  <c:v>139.83000000000001</c:v>
                </c:pt>
                <c:pt idx="294">
                  <c:v>1001.89</c:v>
                </c:pt>
                <c:pt idx="295">
                  <c:v>1177.3</c:v>
                </c:pt>
                <c:pt idx="296">
                  <c:v>1448.42</c:v>
                </c:pt>
                <c:pt idx="297">
                  <c:v>652.41999999999996</c:v>
                </c:pt>
                <c:pt idx="298">
                  <c:v>1247.1400000000001</c:v>
                </c:pt>
                <c:pt idx="299">
                  <c:v>172892.0800000001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44B-4F2C-AFD8-0085390B4B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5745824"/>
        <c:axId val="875754144"/>
      </c:scatterChart>
      <c:valAx>
        <c:axId val="875745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5754144"/>
        <c:crosses val="autoZero"/>
        <c:crossBetween val="midCat"/>
      </c:valAx>
      <c:valAx>
        <c:axId val="875754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57458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[4Sept_EDA Business Sales Performance Analysis_Assignment_10.xlsx]Answers!PivotTable6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400"/>
              <a:t>Total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Answers!$B$74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6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Answers!$A$75:$A$85</c:f>
              <c:strCache>
                <c:ptCount val="10"/>
                <c:pt idx="0">
                  <c:v>Feb</c:v>
                </c:pt>
                <c:pt idx="1">
                  <c:v>Mar</c:v>
                </c:pt>
                <c:pt idx="2">
                  <c:v>Apr</c:v>
                </c:pt>
                <c:pt idx="3">
                  <c:v>May</c:v>
                </c:pt>
                <c:pt idx="4">
                  <c:v>Jun</c:v>
                </c:pt>
                <c:pt idx="5">
                  <c:v>Jul</c:v>
                </c:pt>
                <c:pt idx="6">
                  <c:v>Aug</c:v>
                </c:pt>
                <c:pt idx="7">
                  <c:v>Sep</c:v>
                </c:pt>
                <c:pt idx="8">
                  <c:v>Oct</c:v>
                </c:pt>
                <c:pt idx="9">
                  <c:v>Nov</c:v>
                </c:pt>
              </c:strCache>
            </c:strRef>
          </c:cat>
          <c:val>
            <c:numRef>
              <c:f>Answers!$B$75:$B$85</c:f>
              <c:numCache>
                <c:formatCode>General</c:formatCode>
                <c:ptCount val="10"/>
                <c:pt idx="0">
                  <c:v>65240.990000000005</c:v>
                </c:pt>
                <c:pt idx="1">
                  <c:v>82901.179999999993</c:v>
                </c:pt>
                <c:pt idx="2">
                  <c:v>67789.929999999993</c:v>
                </c:pt>
                <c:pt idx="3">
                  <c:v>80403.529999999984</c:v>
                </c:pt>
                <c:pt idx="4">
                  <c:v>85079.689999999988</c:v>
                </c:pt>
                <c:pt idx="5">
                  <c:v>85945.2</c:v>
                </c:pt>
                <c:pt idx="6">
                  <c:v>76289.790000000008</c:v>
                </c:pt>
                <c:pt idx="7">
                  <c:v>75786.850000000006</c:v>
                </c:pt>
                <c:pt idx="8">
                  <c:v>79579.150000000009</c:v>
                </c:pt>
                <c:pt idx="9">
                  <c:v>61543.1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37-4647-A7F2-4F2B6AF954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01522560"/>
        <c:axId val="901530464"/>
      </c:lineChart>
      <c:catAx>
        <c:axId val="901522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1530464"/>
        <c:crosses val="autoZero"/>
        <c:auto val="1"/>
        <c:lblAlgn val="ctr"/>
        <c:lblOffset val="100"/>
        <c:noMultiLvlLbl val="0"/>
      </c:catAx>
      <c:valAx>
        <c:axId val="9015304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1522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533400</xdr:colOff>
      <xdr:row>117</xdr:row>
      <xdr:rowOff>138112</xdr:rowOff>
    </xdr:from>
    <xdr:to>
      <xdr:col>13</xdr:col>
      <xdr:colOff>228600</xdr:colOff>
      <xdr:row>132</xdr:row>
      <xdr:rowOff>23812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36DF07A-EE7A-40D2-B427-AEB5CCB66F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942975</xdr:colOff>
      <xdr:row>73</xdr:row>
      <xdr:rowOff>152400</xdr:rowOff>
    </xdr:from>
    <xdr:to>
      <xdr:col>8</xdr:col>
      <xdr:colOff>342900</xdr:colOff>
      <xdr:row>84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45CA56F-0CB8-43C8-924E-1F1793FD95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5919.61633287037" createdVersion="7" refreshedVersion="7" minRefreshableVersion="3" recordCount="300" xr:uid="{6861D69C-A830-441D-A865-39762E8A3149}">
  <cacheSource type="worksheet">
    <worksheetSource ref="A1:J301" sheet="Data"/>
  </cacheSource>
  <cacheFields count="11">
    <cacheField name="Transaction ID" numFmtId="0">
      <sharedItems count="300">
        <s v="TXN-3000"/>
        <s v="TXN-3001"/>
        <s v="TXN-3002"/>
        <s v="TXN-3003"/>
        <s v="TXN-3004"/>
        <s v="TXN-3005"/>
        <s v="TXN-3006"/>
        <s v="TXN-3007"/>
        <s v="TXN-3008"/>
        <s v="TXN-3009"/>
        <s v="TXN-3010"/>
        <s v="TXN-3011"/>
        <s v="TXN-3012"/>
        <s v="TXN-3013"/>
        <s v="TXN-3014"/>
        <s v="TXN-3015"/>
        <s v="TXN-3016"/>
        <s v="TXN-3017"/>
        <s v="TXN-3018"/>
        <s v="TXN-3019"/>
        <s v="TXN-3020"/>
        <s v="TXN-3021"/>
        <s v="TXN-3022"/>
        <s v="TXN-3023"/>
        <s v="TXN-3024"/>
        <s v="TXN-3025"/>
        <s v="TXN-3026"/>
        <s v="TXN-3027"/>
        <s v="TXN-3028"/>
        <s v="TXN-3029"/>
        <s v="TXN-3030"/>
        <s v="TXN-3031"/>
        <s v="TXN-3032"/>
        <s v="TXN-3033"/>
        <s v="TXN-3034"/>
        <s v="TXN-3035"/>
        <s v="TXN-3036"/>
        <s v="TXN-3037"/>
        <s v="TXN-3038"/>
        <s v="TXN-3039"/>
        <s v="TXN-3040"/>
        <s v="TXN-3041"/>
        <s v="TXN-3042"/>
        <s v="TXN-3043"/>
        <s v="TXN-3044"/>
        <s v="TXN-3045"/>
        <s v="TXN-3046"/>
        <s v="TXN-3047"/>
        <s v="TXN-3048"/>
        <s v="TXN-3049"/>
        <s v="TXN-3050"/>
        <s v="TXN-3051"/>
        <s v="TXN-3052"/>
        <s v="TXN-3053"/>
        <s v="TXN-3054"/>
        <s v="TXN-3055"/>
        <s v="TXN-3056"/>
        <s v="TXN-3057"/>
        <s v="TXN-3058"/>
        <s v="TXN-3059"/>
        <s v="TXN-3060"/>
        <s v="TXN-3061"/>
        <s v="TXN-3062"/>
        <s v="TXN-3063"/>
        <s v="TXN-3064"/>
        <s v="TXN-3065"/>
        <s v="TXN-3066"/>
        <s v="TXN-3067"/>
        <s v="TXN-3068"/>
        <s v="TXN-3069"/>
        <s v="TXN-3070"/>
        <s v="TXN-3071"/>
        <s v="TXN-3072"/>
        <s v="TXN-3073"/>
        <s v="TXN-3074"/>
        <s v="TXN-3075"/>
        <s v="TXN-3076"/>
        <s v="TXN-3077"/>
        <s v="TXN-3078"/>
        <s v="TXN-3079"/>
        <s v="TXN-3080"/>
        <s v="TXN-3081"/>
        <s v="TXN-3082"/>
        <s v="TXN-3083"/>
        <s v="TXN-3084"/>
        <s v="TXN-3085"/>
        <s v="TXN-3086"/>
        <s v="TXN-3087"/>
        <s v="TXN-3088"/>
        <s v="TXN-3089"/>
        <s v="TXN-3090"/>
        <s v="TXN-3091"/>
        <s v="TXN-3092"/>
        <s v="TXN-3093"/>
        <s v="TXN-3094"/>
        <s v="TXN-3095"/>
        <s v="TXN-3096"/>
        <s v="TXN-3097"/>
        <s v="TXN-3098"/>
        <s v="TXN-3099"/>
        <s v="TXN-3100"/>
        <s v="TXN-3101"/>
        <s v="TXN-3102"/>
        <s v="TXN-3103"/>
        <s v="TXN-3104"/>
        <s v="TXN-3105"/>
        <s v="TXN-3106"/>
        <s v="TXN-3107"/>
        <s v="TXN-3108"/>
        <s v="TXN-3109"/>
        <s v="TXN-3110"/>
        <s v="TXN-3111"/>
        <s v="TXN-3112"/>
        <s v="TXN-3113"/>
        <s v="TXN-3114"/>
        <s v="TXN-3115"/>
        <s v="TXN-3116"/>
        <s v="TXN-3117"/>
        <s v="TXN-3118"/>
        <s v="TXN-3119"/>
        <s v="TXN-3120"/>
        <s v="TXN-3121"/>
        <s v="TXN-3122"/>
        <s v="TXN-3123"/>
        <s v="TXN-3124"/>
        <s v="TXN-3125"/>
        <s v="TXN-3126"/>
        <s v="TXN-3127"/>
        <s v="TXN-3128"/>
        <s v="TXN-3129"/>
        <s v="TXN-3130"/>
        <s v="TXN-3131"/>
        <s v="TXN-3132"/>
        <s v="TXN-3133"/>
        <s v="TXN-3134"/>
        <s v="TXN-3135"/>
        <s v="TXN-3136"/>
        <s v="TXN-3137"/>
        <s v="TXN-3138"/>
        <s v="TXN-3139"/>
        <s v="TXN-3140"/>
        <s v="TXN-3141"/>
        <s v="TXN-3142"/>
        <s v="TXN-3143"/>
        <s v="TXN-3144"/>
        <s v="TXN-3145"/>
        <s v="TXN-3146"/>
        <s v="TXN-3147"/>
        <s v="TXN-3148"/>
        <s v="TXN-3149"/>
        <s v="TXN-3150"/>
        <s v="TXN-3151"/>
        <s v="TXN-3152"/>
        <s v="TXN-3153"/>
        <s v="TXN-3154"/>
        <s v="TXN-3155"/>
        <s v="TXN-3156"/>
        <s v="TXN-3157"/>
        <s v="TXN-3158"/>
        <s v="TXN-3159"/>
        <s v="TXN-3160"/>
        <s v="TXN-3161"/>
        <s v="TXN-3162"/>
        <s v="TXN-3163"/>
        <s v="TXN-3164"/>
        <s v="TXN-3165"/>
        <s v="TXN-3166"/>
        <s v="TXN-3167"/>
        <s v="TXN-3168"/>
        <s v="TXN-3169"/>
        <s v="TXN-3170"/>
        <s v="TXN-3171"/>
        <s v="TXN-3172"/>
        <s v="TXN-3173"/>
        <s v="TXN-3174"/>
        <s v="TXN-3175"/>
        <s v="TXN-3176"/>
        <s v="TXN-3177"/>
        <s v="TXN-3178"/>
        <s v="TXN-3179"/>
        <s v="TXN-3180"/>
        <s v="TXN-3181"/>
        <s v="TXN-3182"/>
        <s v="TXN-3183"/>
        <s v="TXN-3184"/>
        <s v="TXN-3185"/>
        <s v="TXN-3186"/>
        <s v="TXN-3187"/>
        <s v="TXN-3188"/>
        <s v="TXN-3189"/>
        <s v="TXN-3190"/>
        <s v="TXN-3191"/>
        <s v="TXN-3192"/>
        <s v="TXN-3193"/>
        <s v="TXN-3194"/>
        <s v="TXN-3195"/>
        <s v="TXN-3196"/>
        <s v="TXN-3197"/>
        <s v="TXN-3198"/>
        <s v="TXN-3199"/>
        <s v="TXN-3200"/>
        <s v="TXN-3201"/>
        <s v="TXN-3202"/>
        <s v="TXN-3203"/>
        <s v="TXN-3204"/>
        <s v="TXN-3205"/>
        <s v="TXN-3206"/>
        <s v="TXN-3207"/>
        <s v="TXN-3208"/>
        <s v="TXN-3209"/>
        <s v="TXN-3210"/>
        <s v="TXN-3211"/>
        <s v="TXN-3212"/>
        <s v="TXN-3213"/>
        <s v="TXN-3214"/>
        <s v="TXN-3215"/>
        <s v="TXN-3216"/>
        <s v="TXN-3217"/>
        <s v="TXN-3218"/>
        <s v="TXN-3219"/>
        <s v="TXN-3220"/>
        <s v="TXN-3221"/>
        <s v="TXN-3222"/>
        <s v="TXN-3223"/>
        <s v="TXN-3224"/>
        <s v="TXN-3225"/>
        <s v="TXN-3226"/>
        <s v="TXN-3227"/>
        <s v="TXN-3228"/>
        <s v="TXN-3229"/>
        <s v="TXN-3230"/>
        <s v="TXN-3231"/>
        <s v="TXN-3232"/>
        <s v="TXN-3233"/>
        <s v="TXN-3234"/>
        <s v="TXN-3235"/>
        <s v="TXN-3236"/>
        <s v="TXN-3237"/>
        <s v="TXN-3238"/>
        <s v="TXN-3239"/>
        <s v="TXN-3240"/>
        <s v="TXN-3241"/>
        <s v="TXN-3242"/>
        <s v="TXN-3243"/>
        <s v="TXN-3244"/>
        <s v="TXN-3245"/>
        <s v="TXN-3246"/>
        <s v="TXN-3247"/>
        <s v="TXN-3248"/>
        <s v="TXN-3249"/>
        <s v="TXN-3250"/>
        <s v="TXN-3251"/>
        <s v="TXN-3252"/>
        <s v="TXN-3253"/>
        <s v="TXN-3254"/>
        <s v="TXN-3255"/>
        <s v="TXN-3256"/>
        <s v="TXN-3257"/>
        <s v="TXN-3258"/>
        <s v="TXN-3259"/>
        <s v="TXN-3260"/>
        <s v="TXN-3261"/>
        <s v="TXN-3262"/>
        <s v="TXN-3263"/>
        <s v="TXN-3264"/>
        <s v="TXN-3265"/>
        <s v="TXN-3266"/>
        <s v="TXN-3267"/>
        <s v="TXN-3268"/>
        <s v="TXN-3269"/>
        <s v="TXN-3270"/>
        <s v="TXN-3271"/>
        <s v="TXN-3272"/>
        <s v="TXN-3273"/>
        <s v="TXN-3274"/>
        <s v="TXN-3275"/>
        <s v="TXN-3276"/>
        <s v="TXN-3277"/>
        <s v="TXN-3278"/>
        <s v="TXN-3279"/>
        <s v="TXN-3280"/>
        <s v="TXN-3281"/>
        <s v="TXN-3282"/>
        <s v="TXN-3283"/>
        <s v="TXN-3284"/>
        <s v="TXN-3285"/>
        <s v="TXN-3286"/>
        <s v="TXN-3287"/>
        <s v="TXN-3288"/>
        <s v="TXN-3289"/>
        <s v="TXN-3290"/>
        <s v="TXN-3291"/>
        <s v="TXN-3292"/>
        <s v="TXN-3293"/>
        <s v="TXN-3294"/>
        <s v="TXN-3295"/>
        <s v="TXN-3296"/>
        <s v="TXN-3297"/>
        <s v="TXN-3298"/>
        <s v="TXN-3299"/>
      </sharedItems>
    </cacheField>
    <cacheField name="Date" numFmtId="164">
      <sharedItems containsSemiMixedTypes="0" containsNonDate="0" containsDate="1" containsString="0" minDate="2023-02-01T00:00:00" maxDate="2023-11-28T00:00:00" count="300"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5-01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3T00:00:00"/>
        <d v="2023-07-04T00:00:00"/>
        <d v="2023-07-05T00:00:00"/>
        <d v="2023-07-06T00:00:00"/>
        <d v="2023-07-07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3T00:00:00"/>
        <d v="2023-07-24T00:00:00"/>
        <d v="2023-07-25T00:00:00"/>
        <d v="2023-07-26T00:00:00"/>
        <d v="2023-07-27T00:00:00"/>
        <d v="2023-07-28T00:00:00"/>
        <d v="2023-07-29T00:00:00"/>
        <d v="2023-07-30T00:00:00"/>
        <d v="2023-07-31T00:00:00"/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09T00:00:00"/>
        <d v="2023-08-10T00:00:00"/>
        <d v="2023-08-11T00:00:00"/>
        <d v="2023-08-12T00:00:00"/>
        <d v="2023-08-13T00:00:00"/>
        <d v="2023-08-14T00:00:00"/>
        <d v="2023-08-15T00:00:00"/>
        <d v="2023-08-16T00:00:00"/>
        <d v="2023-08-17T00:00:00"/>
        <d v="2023-08-18T00:00:00"/>
        <d v="2023-08-19T00:00:00"/>
        <d v="2023-08-20T00:00:00"/>
        <d v="2023-08-21T00:00:00"/>
        <d v="2023-08-22T00:00:00"/>
        <d v="2023-08-23T00:00:00"/>
        <d v="2023-08-24T00:00:00"/>
        <d v="2023-08-25T00:00:00"/>
        <d v="2023-08-26T00:00:00"/>
        <d v="2023-08-27T00:00:00"/>
        <d v="2023-08-28T00:00:00"/>
        <d v="2023-08-29T00:00:00"/>
        <d v="2023-08-30T00:00:00"/>
        <d v="2023-08-31T00:00:00"/>
        <d v="2023-09-01T00:00:00"/>
        <d v="2023-09-02T00:00:00"/>
        <d v="2023-09-03T00:00:00"/>
        <d v="2023-09-04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3T00:00:00"/>
        <d v="2023-10-24T00:00:00"/>
        <d v="2023-10-25T00:00:00"/>
        <d v="2023-10-26T00:00:00"/>
        <d v="2023-10-27T00:00:00"/>
        <d v="2023-10-28T00:00:00"/>
        <d v="2023-10-29T00:00:00"/>
        <d v="2023-10-30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3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</sharedItems>
      <fieldGroup par="10" base="1">
        <rangePr groupBy="days" startDate="2023-02-01T00:00:00" endDate="2023-11-28T00:00:00"/>
        <groupItems count="368">
          <s v="&lt;01-02-2023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8-11-2023"/>
        </groupItems>
      </fieldGroup>
    </cacheField>
    <cacheField name="Industry" numFmtId="0">
      <sharedItems count="4">
        <s v="Technology"/>
        <s v="Healthcare"/>
        <s v="Retail"/>
        <s v="Finance"/>
      </sharedItems>
    </cacheField>
    <cacheField name="Department" numFmtId="0">
      <sharedItems count="5">
        <s v="Engineering"/>
        <s v="Sales"/>
        <s v="Marketing"/>
        <s v="HR"/>
        <s v="Customer Support"/>
      </sharedItems>
    </cacheField>
    <cacheField name="Country" numFmtId="0">
      <sharedItems count="5">
        <s v="UK"/>
        <s v="Germany"/>
        <s v="Brazil"/>
        <s v="India"/>
        <s v="USA"/>
      </sharedItems>
    </cacheField>
    <cacheField name="Product" numFmtId="0">
      <sharedItems/>
    </cacheField>
    <cacheField name="Sales Channel" numFmtId="0">
      <sharedItems count="5">
        <s v="Offline"/>
        <s v="Online"/>
        <s v="In-store"/>
        <s v="Agent"/>
        <s v="Referral"/>
      </sharedItems>
    </cacheField>
    <cacheField name="Revenue" numFmtId="0">
      <sharedItems containsSemiMixedTypes="0" containsString="0" containsNumber="1" minValue="103.39" maxValue="4998.6899999999996" count="299">
        <n v="3571.89"/>
        <n v="408.75"/>
        <n v="382.77"/>
        <n v="4669.25"/>
        <n v="4050.6"/>
        <n v="1343.04"/>
        <n v="1774.37"/>
        <n v="4147.01"/>
        <n v="3134.25"/>
        <n v="1398.1"/>
        <n v="2300.19"/>
        <n v="4292.24"/>
        <n v="103.39"/>
        <n v="4962.7299999999996"/>
        <n v="2873.07"/>
        <n v="991.9"/>
        <n v="4020.94"/>
        <n v="473.36"/>
        <n v="2109"/>
        <n v="2908.35"/>
        <n v="1311.25"/>
        <n v="4437.6400000000003"/>
        <n v="3514.78"/>
        <n v="892.96"/>
        <n v="847.74"/>
        <n v="403.47"/>
        <n v="2900.34"/>
        <n v="1017.61"/>
        <n v="2760.62"/>
        <n v="4115.42"/>
        <n v="4408.01"/>
        <n v="670.12"/>
        <n v="1727.96"/>
        <n v="2145.14"/>
        <n v="1978.75"/>
        <n v="2152.2600000000002"/>
        <n v="2353.94"/>
        <n v="3807.1"/>
        <n v="1597.03"/>
        <n v="1782.78"/>
        <n v="2012.2"/>
        <n v="840.97"/>
        <n v="3188.83"/>
        <n v="2061.21"/>
        <n v="4589.1499999999996"/>
        <n v="4124.9399999999996"/>
        <n v="1227.8800000000001"/>
        <n v="1287.3399999999999"/>
        <n v="3933.13"/>
        <n v="2843.45"/>
        <n v="150.03"/>
        <n v="3186.43"/>
        <n v="2035.07"/>
        <n v="3947.55"/>
        <n v="3759.55"/>
        <n v="4619.41"/>
        <n v="3526.5"/>
        <n v="4573.6000000000004"/>
        <n v="1494.81"/>
        <n v="1759.71"/>
        <n v="390.08"/>
        <n v="4347.99"/>
        <n v="855.67"/>
        <n v="2801.47"/>
        <n v="2595.06"/>
        <n v="4088.28"/>
        <n v="2001.15"/>
        <n v="799.06"/>
        <n v="1977.1"/>
        <n v="335.44"/>
        <n v="1577.2"/>
        <n v="3187.01"/>
        <n v="380"/>
        <n v="4949.51"/>
        <n v="2727.33"/>
        <n v="1570.35"/>
        <n v="4185.5600000000004"/>
        <n v="773.58"/>
        <n v="1677.62"/>
        <n v="4692.04"/>
        <n v="1275.67"/>
        <n v="3691.17"/>
        <n v="496.56"/>
        <n v="2709.13"/>
        <n v="3324.74"/>
        <n v="1127.6400000000001"/>
        <n v="1705.39"/>
        <n v="2797.49"/>
        <n v="2990.93"/>
        <n v="2112.8000000000002"/>
        <n v="4998.6899999999996"/>
        <n v="1679.93"/>
        <n v="3948.24"/>
        <n v="1087.9100000000001"/>
        <n v="2359.85"/>
        <n v="2639.03"/>
        <n v="3020.49"/>
        <n v="3616.5"/>
        <n v="3999.96"/>
        <n v="3530.81"/>
        <n v="4055.28"/>
        <n v="4441.21"/>
        <n v="1697.98"/>
        <n v="4153.82"/>
        <n v="2647.89"/>
        <n v="1371.2"/>
        <n v="948.06"/>
        <n v="3845.8"/>
        <n v="3219.5"/>
        <n v="446.58"/>
        <n v="2978.52"/>
        <n v="318.27999999999997"/>
        <n v="2017.15"/>
        <n v="2898.69"/>
        <n v="3285.95"/>
        <n v="873.48"/>
        <n v="319.7"/>
        <n v="2922.52"/>
        <n v="4112.04"/>
        <n v="4003.4"/>
        <n v="1862.33"/>
        <n v="2927.06"/>
        <n v="3621.62"/>
        <n v="4378.62"/>
        <n v="2508.9699999999998"/>
        <n v="4389.95"/>
        <n v="1656.87"/>
        <n v="1174.3399999999999"/>
        <n v="1541.2"/>
        <n v="3675.86"/>
        <n v="4437.1899999999996"/>
        <n v="2408.79"/>
        <n v="3510"/>
        <n v="780.19"/>
        <n v="2586.4"/>
        <n v="2230.7199999999998"/>
        <n v="2214.86"/>
        <n v="1021.42"/>
        <n v="3151.63"/>
        <n v="3393.15"/>
        <n v="3217.99"/>
        <n v="3739.51"/>
        <n v="2345.29"/>
        <n v="4277.74"/>
        <n v="2898.94"/>
        <n v="4420.87"/>
        <n v="2109.7600000000002"/>
        <n v="3530.68"/>
        <n v="1064.3399999999999"/>
        <n v="507.03"/>
        <n v="4664.3599999999997"/>
        <n v="1917.1"/>
        <n v="323.92"/>
        <n v="3130.42"/>
        <n v="4672.9799999999996"/>
        <n v="3868.14"/>
        <n v="4937.51"/>
        <n v="4682.07"/>
        <n v="2332.11"/>
        <n v="1246.1600000000001"/>
        <n v="419.67"/>
        <n v="1433.41"/>
        <n v="3197.55"/>
        <n v="4563.37"/>
        <n v="108.37"/>
        <n v="4105.67"/>
        <n v="3845.88"/>
        <n v="3485.81"/>
        <n v="726.6"/>
        <n v="360.95"/>
        <n v="3710.1"/>
        <n v="3242.91"/>
        <n v="1912.5"/>
        <n v="1792.99"/>
        <n v="259.95"/>
        <n v="4967.83"/>
        <n v="4199.55"/>
        <n v="4873.53"/>
        <n v="4108.38"/>
        <n v="2348.38"/>
        <n v="4241.3100000000004"/>
        <n v="1071.95"/>
        <n v="3395.13"/>
        <n v="1262.3699999999999"/>
        <n v="2023.14"/>
        <n v="4371.2299999999996"/>
        <n v="2182.2600000000002"/>
        <n v="4479.21"/>
        <n v="3037.84"/>
        <n v="1539.36"/>
        <n v="1375.75"/>
        <n v="116.53"/>
        <n v="2903.28"/>
        <n v="4208.99"/>
        <n v="1201.1199999999999"/>
        <n v="2448.29"/>
        <n v="4921.09"/>
        <n v="2027.6"/>
        <n v="4698.3900000000003"/>
        <n v="4150.29"/>
        <n v="2523.6"/>
        <n v="3213.28"/>
        <n v="421.36"/>
        <n v="2630.52"/>
        <n v="3823.67"/>
        <n v="1228.8"/>
        <n v="352.28"/>
        <n v="244.07"/>
        <n v="885.55"/>
        <n v="1265.06"/>
        <n v="4046.47"/>
        <n v="2349.66"/>
        <n v="2724.24"/>
        <n v="1634.2"/>
        <n v="1564.26"/>
        <n v="2812.08"/>
        <n v="3754.37"/>
        <n v="985.38"/>
        <n v="2229.7800000000002"/>
        <n v="3256.03"/>
        <n v="4804.46"/>
        <n v="1420.08"/>
        <n v="2025.03"/>
        <n v="2889.58"/>
        <n v="795.3"/>
        <n v="3096.76"/>
        <n v="4874.84"/>
        <n v="1439.76"/>
        <n v="2454.85"/>
        <n v="676.43"/>
        <n v="2638.5"/>
        <n v="4860.7299999999996"/>
        <n v="2757.64"/>
        <n v="1146.1600000000001"/>
        <n v="1622.71"/>
        <n v="3169.4"/>
        <n v="4299.41"/>
        <n v="2321.84"/>
        <n v="2501.59"/>
        <n v="4065.84"/>
        <n v="615.94000000000005"/>
        <n v="4761.1000000000004"/>
        <n v="2377.35"/>
        <n v="1725.08"/>
        <n v="3914.87"/>
        <n v="1356.72"/>
        <n v="817.54"/>
        <n v="1364.8"/>
        <n v="3395.4"/>
        <n v="593.27"/>
        <n v="2311.41"/>
        <n v="1254.24"/>
        <n v="2773.82"/>
        <n v="777.57"/>
        <n v="3892.43"/>
        <n v="4627.17"/>
        <n v="1664.86"/>
        <n v="1836.94"/>
        <n v="3030.62"/>
        <n v="3720.21"/>
        <n v="385.54"/>
        <n v="3406.41"/>
        <n v="4089.82"/>
        <n v="3983.35"/>
        <n v="2249.15"/>
        <n v="4131.58"/>
        <n v="2780.68"/>
        <n v="1014.95"/>
        <n v="1500.11"/>
        <n v="3004.41"/>
        <n v="2807.13"/>
        <n v="4030.62"/>
        <n v="3602.98"/>
        <n v="1143.99"/>
        <n v="2047.19"/>
        <n v="3912.56"/>
        <n v="2344.7800000000002"/>
        <n v="1202.6500000000001"/>
        <n v="4691.76"/>
        <n v="2300.4699999999998"/>
        <n v="1612.76"/>
        <n v="2605.17"/>
        <n v="1574.5"/>
        <n v="1424.88"/>
        <n v="3341.51"/>
        <n v="3996.64"/>
        <n v="2103.2800000000002"/>
        <n v="888.61"/>
        <n v="2431.4"/>
        <n v="2067.84"/>
        <n v="2234.9899999999998"/>
        <n v="1275.3900000000001"/>
        <n v="3871.03"/>
        <n v="1090.92"/>
        <n v="289.37"/>
        <n v="3530.56"/>
        <n v="3738.26"/>
        <n v="1269.92"/>
        <n v="949.69"/>
      </sharedItems>
    </cacheField>
    <cacheField name="Units Sold" numFmtId="0">
      <sharedItems containsSemiMixedTypes="0" containsString="0" containsNumber="1" containsInteger="1" minValue="1" maxValue="49"/>
    </cacheField>
    <cacheField name="Net Profit" numFmtId="0">
      <sharedItems containsSemiMixedTypes="0" containsString="0" containsNumber="1" minValue="-287.76" maxValue="1495.82" count="300">
        <n v="-69.33"/>
        <n v="147.11000000000001"/>
        <n v="454.86"/>
        <n v="-171.26"/>
        <n v="1064.6600000000001"/>
        <n v="1082.71"/>
        <n v="226.36"/>
        <n v="1329.64"/>
        <n v="694.47"/>
        <n v="102.5"/>
        <n v="818.69"/>
        <n v="910.62"/>
        <n v="991.59"/>
        <n v="1448.42"/>
        <n v="1344.56"/>
        <n v="443.9"/>
        <n v="477.29"/>
        <n v="-257.79000000000002"/>
        <n v="451.5"/>
        <n v="18.87"/>
        <n v="-83.7"/>
        <n v="1168.52"/>
        <n v="-260.74"/>
        <n v="-67.7"/>
        <n v="895.86"/>
        <n v="720.93"/>
        <n v="472.25"/>
        <n v="1153.6500000000001"/>
        <n v="128.63"/>
        <n v="71.92"/>
        <n v="624.63"/>
        <n v="-108.02"/>
        <n v="940.34"/>
        <n v="1383.02"/>
        <n v="1160.56"/>
        <n v="1286.18"/>
        <n v="-168.69"/>
        <n v="463.26"/>
        <n v="1325.29"/>
        <n v="1214.45"/>
        <n v="768.83"/>
        <n v="877.95"/>
        <n v="178.82"/>
        <n v="177.42"/>
        <n v="-179.92"/>
        <n v="1323.47"/>
        <n v="220.18"/>
        <n v="1486.5"/>
        <n v="-287.70999999999998"/>
        <n v="1138.42"/>
        <n v="646.44000000000005"/>
        <n v="-224.36"/>
        <n v="893.74"/>
        <n v="964.42"/>
        <n v="959.31"/>
        <n v="952.68"/>
        <n v="920.7"/>
        <n v="1081.6400000000001"/>
        <n v="384.19"/>
        <n v="1423.88"/>
        <n v="569.03"/>
        <n v="182.08"/>
        <n v="1487.13"/>
        <n v="203.14"/>
        <n v="493.35"/>
        <n v="955.93"/>
        <n v="1136.6500000000001"/>
        <n v="269.97000000000003"/>
        <n v="-236.52"/>
        <n v="740.49"/>
        <n v="765.58"/>
        <n v="1013.22"/>
        <n v="169.77"/>
        <n v="1177.3"/>
        <n v="1093.08"/>
        <n v="1250.97"/>
        <n v="1060.82"/>
        <n v="911.61"/>
        <n v="697.41"/>
        <n v="1243.4100000000001"/>
        <n v="106.73"/>
        <n v="897.02"/>
        <n v="1125.8"/>
        <n v="1094.52"/>
        <n v="-66.69"/>
        <n v="264.95"/>
        <n v="1378.96"/>
        <n v="1094.23"/>
        <n v="-21.57"/>
        <n v="569.9"/>
        <n v="1159.47"/>
        <n v="1247.1400000000001"/>
        <n v="635.98"/>
        <n v="-117.4"/>
        <n v="94.83"/>
        <n v="-256"/>
        <n v="-1.68"/>
        <n v="-189.98"/>
        <n v="960.01"/>
        <n v="961.74"/>
        <n v="497.97"/>
        <n v="1285.74"/>
        <n v="-36.68"/>
        <n v="49.21"/>
        <n v="800.53"/>
        <n v="650.53"/>
        <n v="-80.06"/>
        <n v="1332.33"/>
        <n v="819.31"/>
        <n v="794.31"/>
        <n v="371.6"/>
        <n v="791.17"/>
        <n v="-171.29"/>
        <n v="242.17"/>
        <n v="840.08"/>
        <n v="777.68"/>
        <n v="646.84"/>
        <n v="-204.43"/>
        <n v="278.93"/>
        <n v="1472.13"/>
        <n v="1397.74"/>
        <n v="1176.4100000000001"/>
        <n v="-185.23"/>
        <n v="-167.73"/>
        <n v="82.8"/>
        <n v="1189.96"/>
        <n v="67.06"/>
        <n v="105.55"/>
        <n v="168.72"/>
        <n v="1019.79"/>
        <n v="649.64"/>
        <n v="1248.95"/>
        <n v="-163.12"/>
        <n v="-207.2"/>
        <n v="1223.27"/>
        <n v="-103.86"/>
        <n v="986.89"/>
        <n v="788.22"/>
        <n v="73.05"/>
        <n v="168.38"/>
        <n v="1031.54"/>
        <n v="-260.95"/>
        <n v="1420.2"/>
        <n v="-219.12"/>
        <n v="-9"/>
        <n v="851.91"/>
        <n v="-94.12"/>
        <n v="1495.82"/>
        <n v="479.4"/>
        <n v="-175.88"/>
        <n v="-2.96"/>
        <n v="676.07"/>
        <n v="1266.53"/>
        <n v="162.68"/>
        <n v="418.88"/>
        <n v="724.14"/>
        <n v="871.24"/>
        <n v="1001.89"/>
        <n v="284.56"/>
        <n v="367.15"/>
        <n v="1272.49"/>
        <n v="1330.95"/>
        <n v="451.32"/>
        <n v="1493.79"/>
        <n v="15.32"/>
        <n v="1181.92"/>
        <n v="1336.06"/>
        <n v="716.39"/>
        <n v="945.46"/>
        <n v="-191.82"/>
        <n v="1216.74"/>
        <n v="929.69"/>
        <n v="741.16"/>
        <n v="746.22"/>
        <n v="-12.12"/>
        <n v="1225.1400000000001"/>
        <n v="652.41999999999996"/>
        <n v="794.25"/>
        <n v="6.15"/>
        <n v="830.63"/>
        <n v="129.04"/>
        <n v="1072.27"/>
        <n v="-250.29"/>
        <n v="-76.040000000000006"/>
        <n v="80.040000000000006"/>
        <n v="421.71"/>
        <n v="1267.23"/>
        <n v="-287.76"/>
        <n v="700.69"/>
        <n v="-235.19"/>
        <n v="383.31"/>
        <n v="236.69"/>
        <n v="-4.55"/>
        <n v="562.79999999999995"/>
        <n v="315.27999999999997"/>
        <n v="171.36"/>
        <n v="801.03"/>
        <n v="139.83000000000001"/>
        <n v="1449.62"/>
        <n v="149.08000000000001"/>
        <n v="1479.39"/>
        <n v="-9.5299999999999994"/>
        <n v="1409.83"/>
        <n v="-187.08"/>
        <n v="-286.64"/>
        <n v="-124.53"/>
        <n v="972.92"/>
        <n v="118.77"/>
        <n v="196.13"/>
        <n v="911.98"/>
        <n v="-246.9"/>
        <n v="672.47"/>
        <n v="420.61"/>
        <n v="-9.56"/>
        <n v="1341.12"/>
        <n v="348.68"/>
        <n v="224.41"/>
        <n v="950.11"/>
        <n v="1239.8499999999999"/>
        <n v="110.46"/>
        <n v="-71.099999999999994"/>
        <n v="1428.06"/>
        <n v="469.39"/>
        <n v="662.98"/>
        <n v="522.49"/>
        <n v="1190.31"/>
        <n v="472.07"/>
        <n v="1062.71"/>
        <n v="640.96"/>
        <n v="-156.56"/>
        <n v="616.79"/>
        <n v="1240.08"/>
        <n v="656.01"/>
        <n v="407.02"/>
        <n v="-253.85"/>
        <n v="962.33"/>
        <n v="406.68"/>
        <n v="282.02"/>
        <n v="365.59"/>
        <n v="451.86"/>
        <n v="304.37"/>
        <n v="225.04"/>
        <n v="528.9"/>
        <n v="-216.07"/>
        <n v="106.37"/>
        <n v="488.64"/>
        <n v="1292.5899999999999"/>
        <n v="470.64"/>
        <n v="700.61"/>
        <n v="1308.47"/>
        <n v="1150.48"/>
        <n v="982.13"/>
        <n v="815.02"/>
        <n v="772.59"/>
        <n v="42.95"/>
        <n v="-56.75"/>
        <n v="-199.78"/>
        <n v="-131.13"/>
        <n v="806.97"/>
        <n v="795.26"/>
        <n v="-232.89"/>
        <n v="1209"/>
        <n v="494.75"/>
        <n v="669.19"/>
        <n v="-167.66"/>
        <n v="1245.27"/>
        <n v="-155.88"/>
        <n v="79.8"/>
        <n v="537.29"/>
        <n v="595.77"/>
        <n v="659.8"/>
        <n v="1384.88"/>
        <n v="-237.05"/>
        <n v="917.2"/>
        <n v="473.61"/>
        <n v="1162.03"/>
        <n v="901.52"/>
        <n v="1162.69"/>
        <n v="1254.3499999999999"/>
        <n v="1104.72"/>
        <n v="-61.94"/>
        <n v="667"/>
        <n v="1091.93"/>
        <n v="1093.93"/>
        <n v="1368.71"/>
        <n v="448.63"/>
        <n v="-283.86"/>
        <n v="1009.03"/>
        <n v="200.69"/>
        <n v="880.09"/>
        <n v="-211.83"/>
        <n v="339.67"/>
        <n v="839.68"/>
        <n v="-73.11"/>
        <n v="270.83999999999997"/>
        <n v="-38.93"/>
        <n v="1303.93"/>
        <n v="1093.76"/>
        <n v="849.31"/>
        <n v="635.89"/>
      </sharedItems>
    </cacheField>
    <cacheField name="Months" numFmtId="0" databaseField="0">
      <fieldGroup base="1">
        <rangePr groupBy="months" startDate="2023-02-01T00:00:00" endDate="2023-11-28T00:00:00"/>
        <groupItems count="14">
          <s v="&lt;01-02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8-11-202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x v="0"/>
    <x v="0"/>
    <x v="0"/>
    <x v="0"/>
    <x v="0"/>
    <s v="Retail Bundle"/>
    <x v="0"/>
    <x v="0"/>
    <n v="38"/>
    <x v="0"/>
  </r>
  <r>
    <x v="1"/>
    <x v="1"/>
    <x v="1"/>
    <x v="0"/>
    <x v="1"/>
    <s v="Online Course"/>
    <x v="1"/>
    <x v="1"/>
    <n v="39"/>
    <x v="1"/>
  </r>
  <r>
    <x v="2"/>
    <x v="2"/>
    <x v="0"/>
    <x v="1"/>
    <x v="2"/>
    <s v="Fitness Program"/>
    <x v="2"/>
    <x v="2"/>
    <n v="37"/>
    <x v="2"/>
  </r>
  <r>
    <x v="3"/>
    <x v="3"/>
    <x v="2"/>
    <x v="2"/>
    <x v="3"/>
    <s v="Online Course"/>
    <x v="0"/>
    <x v="3"/>
    <n v="22"/>
    <x v="3"/>
  </r>
  <r>
    <x v="4"/>
    <x v="4"/>
    <x v="2"/>
    <x v="3"/>
    <x v="1"/>
    <s v="Medical Device"/>
    <x v="3"/>
    <x v="4"/>
    <n v="34"/>
    <x v="4"/>
  </r>
  <r>
    <x v="5"/>
    <x v="5"/>
    <x v="2"/>
    <x v="2"/>
    <x v="2"/>
    <s v="Retail Bundle"/>
    <x v="4"/>
    <x v="5"/>
    <n v="24"/>
    <x v="5"/>
  </r>
  <r>
    <x v="6"/>
    <x v="6"/>
    <x v="2"/>
    <x v="0"/>
    <x v="3"/>
    <s v="Fitness Program"/>
    <x v="4"/>
    <x v="6"/>
    <n v="6"/>
    <x v="6"/>
  </r>
  <r>
    <x v="7"/>
    <x v="7"/>
    <x v="0"/>
    <x v="1"/>
    <x v="4"/>
    <s v="Online Course"/>
    <x v="0"/>
    <x v="7"/>
    <n v="20"/>
    <x v="7"/>
  </r>
  <r>
    <x v="8"/>
    <x v="8"/>
    <x v="3"/>
    <x v="3"/>
    <x v="1"/>
    <s v="App Subscription"/>
    <x v="0"/>
    <x v="8"/>
    <n v="41"/>
    <x v="8"/>
  </r>
  <r>
    <x v="9"/>
    <x v="9"/>
    <x v="0"/>
    <x v="3"/>
    <x v="2"/>
    <s v="Software License"/>
    <x v="0"/>
    <x v="9"/>
    <n v="3"/>
    <x v="9"/>
  </r>
  <r>
    <x v="10"/>
    <x v="10"/>
    <x v="0"/>
    <x v="0"/>
    <x v="2"/>
    <s v="Fitness Program"/>
    <x v="1"/>
    <x v="10"/>
    <n v="27"/>
    <x v="10"/>
  </r>
  <r>
    <x v="11"/>
    <x v="11"/>
    <x v="3"/>
    <x v="2"/>
    <x v="0"/>
    <s v="Fitness Program"/>
    <x v="4"/>
    <x v="11"/>
    <n v="6"/>
    <x v="11"/>
  </r>
  <r>
    <x v="12"/>
    <x v="12"/>
    <x v="3"/>
    <x v="4"/>
    <x v="3"/>
    <s v="App Subscription"/>
    <x v="1"/>
    <x v="12"/>
    <n v="12"/>
    <x v="12"/>
  </r>
  <r>
    <x v="13"/>
    <x v="13"/>
    <x v="2"/>
    <x v="3"/>
    <x v="4"/>
    <s v="Medical Device"/>
    <x v="0"/>
    <x v="13"/>
    <n v="48"/>
    <x v="13"/>
  </r>
  <r>
    <x v="14"/>
    <x v="14"/>
    <x v="1"/>
    <x v="2"/>
    <x v="2"/>
    <s v="Credit Package"/>
    <x v="1"/>
    <x v="14"/>
    <n v="39"/>
    <x v="14"/>
  </r>
  <r>
    <x v="15"/>
    <x v="15"/>
    <x v="2"/>
    <x v="3"/>
    <x v="0"/>
    <s v="Retail Bundle"/>
    <x v="3"/>
    <x v="15"/>
    <n v="34"/>
    <x v="15"/>
  </r>
  <r>
    <x v="16"/>
    <x v="16"/>
    <x v="3"/>
    <x v="1"/>
    <x v="2"/>
    <s v="Retail Bundle"/>
    <x v="4"/>
    <x v="16"/>
    <n v="47"/>
    <x v="16"/>
  </r>
  <r>
    <x v="17"/>
    <x v="17"/>
    <x v="3"/>
    <x v="2"/>
    <x v="4"/>
    <s v="Software License"/>
    <x v="4"/>
    <x v="17"/>
    <n v="21"/>
    <x v="17"/>
  </r>
  <r>
    <x v="18"/>
    <x v="18"/>
    <x v="1"/>
    <x v="2"/>
    <x v="3"/>
    <s v="Software License"/>
    <x v="2"/>
    <x v="18"/>
    <n v="4"/>
    <x v="18"/>
  </r>
  <r>
    <x v="19"/>
    <x v="19"/>
    <x v="3"/>
    <x v="4"/>
    <x v="3"/>
    <s v="Retail Bundle"/>
    <x v="2"/>
    <x v="19"/>
    <n v="5"/>
    <x v="19"/>
  </r>
  <r>
    <x v="20"/>
    <x v="20"/>
    <x v="2"/>
    <x v="3"/>
    <x v="1"/>
    <s v="Credit Package"/>
    <x v="1"/>
    <x v="20"/>
    <n v="7"/>
    <x v="20"/>
  </r>
  <r>
    <x v="21"/>
    <x v="21"/>
    <x v="2"/>
    <x v="2"/>
    <x v="1"/>
    <s v="Credit Package"/>
    <x v="2"/>
    <x v="21"/>
    <n v="24"/>
    <x v="21"/>
  </r>
  <r>
    <x v="22"/>
    <x v="22"/>
    <x v="0"/>
    <x v="3"/>
    <x v="3"/>
    <s v="Medical Device"/>
    <x v="3"/>
    <x v="22"/>
    <n v="16"/>
    <x v="22"/>
  </r>
  <r>
    <x v="23"/>
    <x v="23"/>
    <x v="3"/>
    <x v="4"/>
    <x v="3"/>
    <s v="Credit Package"/>
    <x v="1"/>
    <x v="23"/>
    <n v="49"/>
    <x v="23"/>
  </r>
  <r>
    <x v="24"/>
    <x v="24"/>
    <x v="1"/>
    <x v="4"/>
    <x v="3"/>
    <s v="Medical Device"/>
    <x v="4"/>
    <x v="24"/>
    <n v="30"/>
    <x v="24"/>
  </r>
  <r>
    <x v="25"/>
    <x v="25"/>
    <x v="2"/>
    <x v="4"/>
    <x v="0"/>
    <s v="Software License"/>
    <x v="2"/>
    <x v="25"/>
    <n v="37"/>
    <x v="25"/>
  </r>
  <r>
    <x v="26"/>
    <x v="26"/>
    <x v="0"/>
    <x v="3"/>
    <x v="2"/>
    <s v="Retail Bundle"/>
    <x v="0"/>
    <x v="26"/>
    <n v="8"/>
    <x v="26"/>
  </r>
  <r>
    <x v="27"/>
    <x v="27"/>
    <x v="2"/>
    <x v="4"/>
    <x v="4"/>
    <s v="Retail Bundle"/>
    <x v="1"/>
    <x v="27"/>
    <n v="48"/>
    <x v="27"/>
  </r>
  <r>
    <x v="28"/>
    <x v="28"/>
    <x v="0"/>
    <x v="4"/>
    <x v="1"/>
    <s v="App Subscription"/>
    <x v="0"/>
    <x v="28"/>
    <n v="39"/>
    <x v="28"/>
  </r>
  <r>
    <x v="29"/>
    <x v="29"/>
    <x v="1"/>
    <x v="4"/>
    <x v="3"/>
    <s v="Medical Device"/>
    <x v="0"/>
    <x v="29"/>
    <n v="46"/>
    <x v="29"/>
  </r>
  <r>
    <x v="30"/>
    <x v="30"/>
    <x v="3"/>
    <x v="4"/>
    <x v="4"/>
    <s v="Software License"/>
    <x v="2"/>
    <x v="30"/>
    <n v="44"/>
    <x v="30"/>
  </r>
  <r>
    <x v="31"/>
    <x v="31"/>
    <x v="0"/>
    <x v="3"/>
    <x v="4"/>
    <s v="Medical Device"/>
    <x v="3"/>
    <x v="31"/>
    <n v="7"/>
    <x v="31"/>
  </r>
  <r>
    <x v="32"/>
    <x v="32"/>
    <x v="2"/>
    <x v="0"/>
    <x v="1"/>
    <s v="Medical Device"/>
    <x v="0"/>
    <x v="32"/>
    <n v="12"/>
    <x v="32"/>
  </r>
  <r>
    <x v="33"/>
    <x v="33"/>
    <x v="0"/>
    <x v="3"/>
    <x v="1"/>
    <s v="Insurance Plan"/>
    <x v="3"/>
    <x v="33"/>
    <n v="6"/>
    <x v="33"/>
  </r>
  <r>
    <x v="34"/>
    <x v="34"/>
    <x v="1"/>
    <x v="3"/>
    <x v="4"/>
    <s v="Credit Package"/>
    <x v="1"/>
    <x v="34"/>
    <n v="49"/>
    <x v="34"/>
  </r>
  <r>
    <x v="35"/>
    <x v="35"/>
    <x v="1"/>
    <x v="1"/>
    <x v="1"/>
    <s v="Fitness Program"/>
    <x v="4"/>
    <x v="35"/>
    <n v="25"/>
    <x v="35"/>
  </r>
  <r>
    <x v="36"/>
    <x v="36"/>
    <x v="2"/>
    <x v="3"/>
    <x v="1"/>
    <s v="Online Course"/>
    <x v="0"/>
    <x v="36"/>
    <n v="30"/>
    <x v="36"/>
  </r>
  <r>
    <x v="37"/>
    <x v="37"/>
    <x v="3"/>
    <x v="0"/>
    <x v="1"/>
    <s v="Software License"/>
    <x v="2"/>
    <x v="37"/>
    <n v="11"/>
    <x v="37"/>
  </r>
  <r>
    <x v="38"/>
    <x v="38"/>
    <x v="3"/>
    <x v="4"/>
    <x v="2"/>
    <s v="Insurance Plan"/>
    <x v="4"/>
    <x v="38"/>
    <n v="30"/>
    <x v="38"/>
  </r>
  <r>
    <x v="39"/>
    <x v="39"/>
    <x v="1"/>
    <x v="2"/>
    <x v="0"/>
    <s v="Credit Package"/>
    <x v="4"/>
    <x v="39"/>
    <n v="43"/>
    <x v="39"/>
  </r>
  <r>
    <x v="40"/>
    <x v="40"/>
    <x v="3"/>
    <x v="4"/>
    <x v="1"/>
    <s v="Credit Package"/>
    <x v="3"/>
    <x v="40"/>
    <n v="37"/>
    <x v="40"/>
  </r>
  <r>
    <x v="41"/>
    <x v="41"/>
    <x v="2"/>
    <x v="1"/>
    <x v="0"/>
    <s v="Online Course"/>
    <x v="2"/>
    <x v="41"/>
    <n v="26"/>
    <x v="41"/>
  </r>
  <r>
    <x v="42"/>
    <x v="42"/>
    <x v="2"/>
    <x v="3"/>
    <x v="0"/>
    <s v="Insurance Plan"/>
    <x v="4"/>
    <x v="42"/>
    <n v="11"/>
    <x v="42"/>
  </r>
  <r>
    <x v="43"/>
    <x v="43"/>
    <x v="3"/>
    <x v="2"/>
    <x v="4"/>
    <s v="App Subscription"/>
    <x v="1"/>
    <x v="43"/>
    <n v="23"/>
    <x v="43"/>
  </r>
  <r>
    <x v="44"/>
    <x v="44"/>
    <x v="3"/>
    <x v="1"/>
    <x v="3"/>
    <s v="Retail Bundle"/>
    <x v="4"/>
    <x v="44"/>
    <n v="17"/>
    <x v="44"/>
  </r>
  <r>
    <x v="45"/>
    <x v="45"/>
    <x v="1"/>
    <x v="4"/>
    <x v="3"/>
    <s v="Insurance Plan"/>
    <x v="0"/>
    <x v="45"/>
    <n v="17"/>
    <x v="45"/>
  </r>
  <r>
    <x v="46"/>
    <x v="46"/>
    <x v="1"/>
    <x v="2"/>
    <x v="2"/>
    <s v="Fitness Program"/>
    <x v="1"/>
    <x v="46"/>
    <n v="35"/>
    <x v="46"/>
  </r>
  <r>
    <x v="47"/>
    <x v="47"/>
    <x v="1"/>
    <x v="0"/>
    <x v="4"/>
    <s v="Software License"/>
    <x v="0"/>
    <x v="47"/>
    <n v="17"/>
    <x v="47"/>
  </r>
  <r>
    <x v="48"/>
    <x v="48"/>
    <x v="2"/>
    <x v="3"/>
    <x v="0"/>
    <s v="Insurance Plan"/>
    <x v="4"/>
    <x v="48"/>
    <n v="13"/>
    <x v="48"/>
  </r>
  <r>
    <x v="49"/>
    <x v="49"/>
    <x v="2"/>
    <x v="4"/>
    <x v="1"/>
    <s v="Medical Device"/>
    <x v="4"/>
    <x v="49"/>
    <n v="4"/>
    <x v="49"/>
  </r>
  <r>
    <x v="50"/>
    <x v="50"/>
    <x v="2"/>
    <x v="0"/>
    <x v="0"/>
    <s v="Insurance Plan"/>
    <x v="4"/>
    <x v="50"/>
    <n v="27"/>
    <x v="50"/>
  </r>
  <r>
    <x v="51"/>
    <x v="51"/>
    <x v="2"/>
    <x v="3"/>
    <x v="2"/>
    <s v="Credit Package"/>
    <x v="1"/>
    <x v="51"/>
    <n v="29"/>
    <x v="51"/>
  </r>
  <r>
    <x v="52"/>
    <x v="52"/>
    <x v="1"/>
    <x v="3"/>
    <x v="1"/>
    <s v="Credit Package"/>
    <x v="0"/>
    <x v="52"/>
    <n v="38"/>
    <x v="52"/>
  </r>
  <r>
    <x v="53"/>
    <x v="53"/>
    <x v="1"/>
    <x v="4"/>
    <x v="0"/>
    <s v="Online Course"/>
    <x v="2"/>
    <x v="53"/>
    <n v="26"/>
    <x v="53"/>
  </r>
  <r>
    <x v="54"/>
    <x v="54"/>
    <x v="1"/>
    <x v="2"/>
    <x v="4"/>
    <s v="Insurance Plan"/>
    <x v="2"/>
    <x v="54"/>
    <n v="36"/>
    <x v="54"/>
  </r>
  <r>
    <x v="55"/>
    <x v="55"/>
    <x v="3"/>
    <x v="0"/>
    <x v="2"/>
    <s v="Medical Device"/>
    <x v="3"/>
    <x v="55"/>
    <n v="23"/>
    <x v="55"/>
  </r>
  <r>
    <x v="56"/>
    <x v="56"/>
    <x v="3"/>
    <x v="1"/>
    <x v="2"/>
    <s v="Retail Bundle"/>
    <x v="3"/>
    <x v="56"/>
    <n v="9"/>
    <x v="56"/>
  </r>
  <r>
    <x v="57"/>
    <x v="57"/>
    <x v="0"/>
    <x v="4"/>
    <x v="0"/>
    <s v="Retail Bundle"/>
    <x v="3"/>
    <x v="57"/>
    <n v="2"/>
    <x v="57"/>
  </r>
  <r>
    <x v="58"/>
    <x v="58"/>
    <x v="1"/>
    <x v="2"/>
    <x v="2"/>
    <s v="Insurance Plan"/>
    <x v="0"/>
    <x v="58"/>
    <n v="32"/>
    <x v="58"/>
  </r>
  <r>
    <x v="59"/>
    <x v="59"/>
    <x v="2"/>
    <x v="2"/>
    <x v="2"/>
    <s v="Medical Device"/>
    <x v="4"/>
    <x v="59"/>
    <n v="42"/>
    <x v="59"/>
  </r>
  <r>
    <x v="60"/>
    <x v="60"/>
    <x v="2"/>
    <x v="3"/>
    <x v="1"/>
    <s v="Software License"/>
    <x v="0"/>
    <x v="60"/>
    <n v="47"/>
    <x v="60"/>
  </r>
  <r>
    <x v="61"/>
    <x v="61"/>
    <x v="3"/>
    <x v="0"/>
    <x v="0"/>
    <s v="App Subscription"/>
    <x v="0"/>
    <x v="61"/>
    <n v="31"/>
    <x v="61"/>
  </r>
  <r>
    <x v="62"/>
    <x v="62"/>
    <x v="3"/>
    <x v="1"/>
    <x v="3"/>
    <s v="Retail Bundle"/>
    <x v="4"/>
    <x v="62"/>
    <n v="29"/>
    <x v="62"/>
  </r>
  <r>
    <x v="63"/>
    <x v="63"/>
    <x v="0"/>
    <x v="3"/>
    <x v="0"/>
    <s v="Credit Package"/>
    <x v="0"/>
    <x v="63"/>
    <n v="5"/>
    <x v="63"/>
  </r>
  <r>
    <x v="64"/>
    <x v="64"/>
    <x v="0"/>
    <x v="2"/>
    <x v="1"/>
    <s v="Online Course"/>
    <x v="2"/>
    <x v="64"/>
    <n v="36"/>
    <x v="64"/>
  </r>
  <r>
    <x v="65"/>
    <x v="65"/>
    <x v="0"/>
    <x v="4"/>
    <x v="4"/>
    <s v="Retail Bundle"/>
    <x v="4"/>
    <x v="65"/>
    <n v="49"/>
    <x v="65"/>
  </r>
  <r>
    <x v="66"/>
    <x v="66"/>
    <x v="2"/>
    <x v="1"/>
    <x v="4"/>
    <s v="Fitness Program"/>
    <x v="3"/>
    <x v="66"/>
    <n v="28"/>
    <x v="66"/>
  </r>
  <r>
    <x v="67"/>
    <x v="67"/>
    <x v="2"/>
    <x v="0"/>
    <x v="2"/>
    <s v="App Subscription"/>
    <x v="1"/>
    <x v="67"/>
    <n v="37"/>
    <x v="67"/>
  </r>
  <r>
    <x v="68"/>
    <x v="68"/>
    <x v="2"/>
    <x v="3"/>
    <x v="0"/>
    <s v="Fitness Program"/>
    <x v="2"/>
    <x v="68"/>
    <n v="40"/>
    <x v="68"/>
  </r>
  <r>
    <x v="69"/>
    <x v="69"/>
    <x v="3"/>
    <x v="3"/>
    <x v="2"/>
    <s v="Fitness Program"/>
    <x v="4"/>
    <x v="69"/>
    <n v="27"/>
    <x v="69"/>
  </r>
  <r>
    <x v="70"/>
    <x v="70"/>
    <x v="2"/>
    <x v="0"/>
    <x v="1"/>
    <s v="Medical Device"/>
    <x v="1"/>
    <x v="70"/>
    <n v="10"/>
    <x v="70"/>
  </r>
  <r>
    <x v="71"/>
    <x v="71"/>
    <x v="3"/>
    <x v="2"/>
    <x v="1"/>
    <s v="Insurance Plan"/>
    <x v="4"/>
    <x v="71"/>
    <n v="27"/>
    <x v="71"/>
  </r>
  <r>
    <x v="72"/>
    <x v="72"/>
    <x v="1"/>
    <x v="0"/>
    <x v="3"/>
    <s v="Credit Package"/>
    <x v="2"/>
    <x v="72"/>
    <n v="30"/>
    <x v="72"/>
  </r>
  <r>
    <x v="73"/>
    <x v="73"/>
    <x v="3"/>
    <x v="4"/>
    <x v="2"/>
    <s v="Retail Bundle"/>
    <x v="3"/>
    <x v="73"/>
    <n v="43"/>
    <x v="73"/>
  </r>
  <r>
    <x v="74"/>
    <x v="74"/>
    <x v="0"/>
    <x v="2"/>
    <x v="0"/>
    <s v="Software License"/>
    <x v="4"/>
    <x v="74"/>
    <n v="20"/>
    <x v="74"/>
  </r>
  <r>
    <x v="75"/>
    <x v="75"/>
    <x v="3"/>
    <x v="4"/>
    <x v="4"/>
    <s v="Fitness Program"/>
    <x v="4"/>
    <x v="75"/>
    <n v="5"/>
    <x v="75"/>
  </r>
  <r>
    <x v="76"/>
    <x v="76"/>
    <x v="1"/>
    <x v="2"/>
    <x v="4"/>
    <s v="Online Course"/>
    <x v="0"/>
    <x v="76"/>
    <n v="38"/>
    <x v="76"/>
  </r>
  <r>
    <x v="77"/>
    <x v="77"/>
    <x v="1"/>
    <x v="4"/>
    <x v="3"/>
    <s v="Online Course"/>
    <x v="3"/>
    <x v="77"/>
    <n v="29"/>
    <x v="77"/>
  </r>
  <r>
    <x v="78"/>
    <x v="78"/>
    <x v="1"/>
    <x v="4"/>
    <x v="1"/>
    <s v="Online Course"/>
    <x v="0"/>
    <x v="78"/>
    <n v="42"/>
    <x v="78"/>
  </r>
  <r>
    <x v="79"/>
    <x v="79"/>
    <x v="3"/>
    <x v="1"/>
    <x v="2"/>
    <s v="Retail Bundle"/>
    <x v="2"/>
    <x v="79"/>
    <n v="16"/>
    <x v="79"/>
  </r>
  <r>
    <x v="80"/>
    <x v="80"/>
    <x v="3"/>
    <x v="4"/>
    <x v="2"/>
    <s v="Fitness Program"/>
    <x v="3"/>
    <x v="80"/>
    <n v="29"/>
    <x v="80"/>
  </r>
  <r>
    <x v="81"/>
    <x v="81"/>
    <x v="0"/>
    <x v="1"/>
    <x v="1"/>
    <s v="Insurance Plan"/>
    <x v="2"/>
    <x v="81"/>
    <n v="16"/>
    <x v="81"/>
  </r>
  <r>
    <x v="82"/>
    <x v="82"/>
    <x v="2"/>
    <x v="2"/>
    <x v="1"/>
    <s v="Insurance Plan"/>
    <x v="2"/>
    <x v="82"/>
    <n v="47"/>
    <x v="82"/>
  </r>
  <r>
    <x v="83"/>
    <x v="83"/>
    <x v="1"/>
    <x v="4"/>
    <x v="2"/>
    <s v="App Subscription"/>
    <x v="0"/>
    <x v="83"/>
    <n v="25"/>
    <x v="83"/>
  </r>
  <r>
    <x v="84"/>
    <x v="84"/>
    <x v="0"/>
    <x v="3"/>
    <x v="2"/>
    <s v="Medical Device"/>
    <x v="0"/>
    <x v="84"/>
    <n v="30"/>
    <x v="84"/>
  </r>
  <r>
    <x v="85"/>
    <x v="85"/>
    <x v="3"/>
    <x v="3"/>
    <x v="3"/>
    <s v="Insurance Plan"/>
    <x v="3"/>
    <x v="85"/>
    <n v="2"/>
    <x v="85"/>
  </r>
  <r>
    <x v="86"/>
    <x v="86"/>
    <x v="0"/>
    <x v="1"/>
    <x v="2"/>
    <s v="Medical Device"/>
    <x v="1"/>
    <x v="86"/>
    <n v="20"/>
    <x v="86"/>
  </r>
  <r>
    <x v="87"/>
    <x v="87"/>
    <x v="0"/>
    <x v="3"/>
    <x v="4"/>
    <s v="Retail Bundle"/>
    <x v="0"/>
    <x v="87"/>
    <n v="42"/>
    <x v="87"/>
  </r>
  <r>
    <x v="88"/>
    <x v="88"/>
    <x v="3"/>
    <x v="2"/>
    <x v="2"/>
    <s v="Medical Device"/>
    <x v="3"/>
    <x v="88"/>
    <n v="47"/>
    <x v="88"/>
  </r>
  <r>
    <x v="89"/>
    <x v="89"/>
    <x v="1"/>
    <x v="2"/>
    <x v="0"/>
    <s v="App Subscription"/>
    <x v="3"/>
    <x v="62"/>
    <n v="33"/>
    <x v="89"/>
  </r>
  <r>
    <x v="90"/>
    <x v="90"/>
    <x v="0"/>
    <x v="2"/>
    <x v="1"/>
    <s v="Medical Device"/>
    <x v="2"/>
    <x v="89"/>
    <n v="19"/>
    <x v="90"/>
  </r>
  <r>
    <x v="91"/>
    <x v="91"/>
    <x v="3"/>
    <x v="4"/>
    <x v="0"/>
    <s v="Credit Package"/>
    <x v="3"/>
    <x v="90"/>
    <n v="4"/>
    <x v="91"/>
  </r>
  <r>
    <x v="92"/>
    <x v="92"/>
    <x v="2"/>
    <x v="3"/>
    <x v="1"/>
    <s v="Credit Package"/>
    <x v="1"/>
    <x v="91"/>
    <n v="33"/>
    <x v="92"/>
  </r>
  <r>
    <x v="93"/>
    <x v="93"/>
    <x v="1"/>
    <x v="0"/>
    <x v="1"/>
    <s v="Fitness Program"/>
    <x v="3"/>
    <x v="92"/>
    <n v="25"/>
    <x v="93"/>
  </r>
  <r>
    <x v="94"/>
    <x v="94"/>
    <x v="0"/>
    <x v="1"/>
    <x v="4"/>
    <s v="Medical Device"/>
    <x v="1"/>
    <x v="93"/>
    <n v="36"/>
    <x v="94"/>
  </r>
  <r>
    <x v="95"/>
    <x v="95"/>
    <x v="3"/>
    <x v="3"/>
    <x v="1"/>
    <s v="Credit Package"/>
    <x v="0"/>
    <x v="94"/>
    <n v="1"/>
    <x v="95"/>
  </r>
  <r>
    <x v="96"/>
    <x v="96"/>
    <x v="3"/>
    <x v="0"/>
    <x v="0"/>
    <s v="Medical Device"/>
    <x v="4"/>
    <x v="95"/>
    <n v="16"/>
    <x v="96"/>
  </r>
  <r>
    <x v="97"/>
    <x v="97"/>
    <x v="1"/>
    <x v="1"/>
    <x v="3"/>
    <s v="App Subscription"/>
    <x v="0"/>
    <x v="96"/>
    <n v="25"/>
    <x v="97"/>
  </r>
  <r>
    <x v="98"/>
    <x v="98"/>
    <x v="1"/>
    <x v="3"/>
    <x v="4"/>
    <s v="Online Course"/>
    <x v="2"/>
    <x v="97"/>
    <n v="35"/>
    <x v="98"/>
  </r>
  <r>
    <x v="99"/>
    <x v="99"/>
    <x v="0"/>
    <x v="3"/>
    <x v="0"/>
    <s v="Medical Device"/>
    <x v="2"/>
    <x v="98"/>
    <n v="11"/>
    <x v="99"/>
  </r>
  <r>
    <x v="100"/>
    <x v="100"/>
    <x v="3"/>
    <x v="2"/>
    <x v="3"/>
    <s v="Retail Bundle"/>
    <x v="1"/>
    <x v="99"/>
    <n v="24"/>
    <x v="100"/>
  </r>
  <r>
    <x v="101"/>
    <x v="101"/>
    <x v="3"/>
    <x v="1"/>
    <x v="2"/>
    <s v="Medical Device"/>
    <x v="0"/>
    <x v="100"/>
    <n v="35"/>
    <x v="101"/>
  </r>
  <r>
    <x v="102"/>
    <x v="102"/>
    <x v="0"/>
    <x v="2"/>
    <x v="0"/>
    <s v="Fitness Program"/>
    <x v="0"/>
    <x v="101"/>
    <n v="21"/>
    <x v="102"/>
  </r>
  <r>
    <x v="103"/>
    <x v="103"/>
    <x v="3"/>
    <x v="1"/>
    <x v="1"/>
    <s v="Online Course"/>
    <x v="2"/>
    <x v="102"/>
    <n v="4"/>
    <x v="103"/>
  </r>
  <r>
    <x v="104"/>
    <x v="104"/>
    <x v="2"/>
    <x v="4"/>
    <x v="1"/>
    <s v="Medical Device"/>
    <x v="1"/>
    <x v="103"/>
    <n v="45"/>
    <x v="104"/>
  </r>
  <r>
    <x v="105"/>
    <x v="105"/>
    <x v="1"/>
    <x v="0"/>
    <x v="1"/>
    <s v="App Subscription"/>
    <x v="1"/>
    <x v="104"/>
    <n v="14"/>
    <x v="105"/>
  </r>
  <r>
    <x v="106"/>
    <x v="106"/>
    <x v="1"/>
    <x v="1"/>
    <x v="0"/>
    <s v="Software License"/>
    <x v="4"/>
    <x v="105"/>
    <n v="27"/>
    <x v="106"/>
  </r>
  <r>
    <x v="107"/>
    <x v="107"/>
    <x v="3"/>
    <x v="0"/>
    <x v="2"/>
    <s v="App Subscription"/>
    <x v="4"/>
    <x v="106"/>
    <n v="33"/>
    <x v="107"/>
  </r>
  <r>
    <x v="108"/>
    <x v="108"/>
    <x v="3"/>
    <x v="1"/>
    <x v="2"/>
    <s v="Online Course"/>
    <x v="0"/>
    <x v="107"/>
    <n v="16"/>
    <x v="108"/>
  </r>
  <r>
    <x v="109"/>
    <x v="109"/>
    <x v="3"/>
    <x v="4"/>
    <x v="1"/>
    <s v="Fitness Program"/>
    <x v="1"/>
    <x v="108"/>
    <n v="44"/>
    <x v="109"/>
  </r>
  <r>
    <x v="110"/>
    <x v="110"/>
    <x v="3"/>
    <x v="1"/>
    <x v="3"/>
    <s v="Medical Device"/>
    <x v="0"/>
    <x v="109"/>
    <n v="2"/>
    <x v="110"/>
  </r>
  <r>
    <x v="111"/>
    <x v="111"/>
    <x v="0"/>
    <x v="3"/>
    <x v="3"/>
    <s v="Software License"/>
    <x v="2"/>
    <x v="110"/>
    <n v="33"/>
    <x v="111"/>
  </r>
  <r>
    <x v="112"/>
    <x v="112"/>
    <x v="0"/>
    <x v="2"/>
    <x v="0"/>
    <s v="Medical Device"/>
    <x v="2"/>
    <x v="111"/>
    <n v="2"/>
    <x v="112"/>
  </r>
  <r>
    <x v="113"/>
    <x v="113"/>
    <x v="2"/>
    <x v="4"/>
    <x v="2"/>
    <s v="Online Course"/>
    <x v="4"/>
    <x v="112"/>
    <n v="23"/>
    <x v="113"/>
  </r>
  <r>
    <x v="114"/>
    <x v="114"/>
    <x v="1"/>
    <x v="3"/>
    <x v="2"/>
    <s v="Insurance Plan"/>
    <x v="3"/>
    <x v="113"/>
    <n v="2"/>
    <x v="114"/>
  </r>
  <r>
    <x v="115"/>
    <x v="115"/>
    <x v="3"/>
    <x v="1"/>
    <x v="2"/>
    <s v="Retail Bundle"/>
    <x v="2"/>
    <x v="114"/>
    <n v="22"/>
    <x v="115"/>
  </r>
  <r>
    <x v="116"/>
    <x v="116"/>
    <x v="0"/>
    <x v="2"/>
    <x v="3"/>
    <s v="Online Course"/>
    <x v="0"/>
    <x v="115"/>
    <n v="42"/>
    <x v="116"/>
  </r>
  <r>
    <x v="117"/>
    <x v="117"/>
    <x v="0"/>
    <x v="2"/>
    <x v="4"/>
    <s v="Fitness Program"/>
    <x v="0"/>
    <x v="116"/>
    <n v="37"/>
    <x v="117"/>
  </r>
  <r>
    <x v="118"/>
    <x v="118"/>
    <x v="3"/>
    <x v="0"/>
    <x v="1"/>
    <s v="App Subscription"/>
    <x v="1"/>
    <x v="117"/>
    <n v="15"/>
    <x v="118"/>
  </r>
  <r>
    <x v="119"/>
    <x v="119"/>
    <x v="2"/>
    <x v="2"/>
    <x v="1"/>
    <s v="Online Course"/>
    <x v="1"/>
    <x v="118"/>
    <n v="9"/>
    <x v="119"/>
  </r>
  <r>
    <x v="120"/>
    <x v="120"/>
    <x v="0"/>
    <x v="0"/>
    <x v="0"/>
    <s v="Credit Package"/>
    <x v="0"/>
    <x v="119"/>
    <n v="29"/>
    <x v="120"/>
  </r>
  <r>
    <x v="121"/>
    <x v="121"/>
    <x v="2"/>
    <x v="2"/>
    <x v="0"/>
    <s v="App Subscription"/>
    <x v="1"/>
    <x v="120"/>
    <n v="20"/>
    <x v="121"/>
  </r>
  <r>
    <x v="122"/>
    <x v="122"/>
    <x v="1"/>
    <x v="3"/>
    <x v="3"/>
    <s v="Online Course"/>
    <x v="4"/>
    <x v="121"/>
    <n v="4"/>
    <x v="122"/>
  </r>
  <r>
    <x v="123"/>
    <x v="123"/>
    <x v="3"/>
    <x v="3"/>
    <x v="4"/>
    <s v="Software License"/>
    <x v="4"/>
    <x v="122"/>
    <n v="10"/>
    <x v="123"/>
  </r>
  <r>
    <x v="124"/>
    <x v="124"/>
    <x v="1"/>
    <x v="0"/>
    <x v="0"/>
    <s v="Medical Device"/>
    <x v="3"/>
    <x v="123"/>
    <n v="27"/>
    <x v="124"/>
  </r>
  <r>
    <x v="125"/>
    <x v="125"/>
    <x v="3"/>
    <x v="2"/>
    <x v="0"/>
    <s v="Fitness Program"/>
    <x v="4"/>
    <x v="124"/>
    <n v="24"/>
    <x v="125"/>
  </r>
  <r>
    <x v="126"/>
    <x v="126"/>
    <x v="0"/>
    <x v="1"/>
    <x v="1"/>
    <s v="Fitness Program"/>
    <x v="2"/>
    <x v="125"/>
    <n v="44"/>
    <x v="126"/>
  </r>
  <r>
    <x v="127"/>
    <x v="127"/>
    <x v="1"/>
    <x v="0"/>
    <x v="4"/>
    <s v="Medical Device"/>
    <x v="0"/>
    <x v="126"/>
    <n v="2"/>
    <x v="127"/>
  </r>
  <r>
    <x v="128"/>
    <x v="128"/>
    <x v="2"/>
    <x v="3"/>
    <x v="1"/>
    <s v="Retail Bundle"/>
    <x v="0"/>
    <x v="127"/>
    <n v="48"/>
    <x v="128"/>
  </r>
  <r>
    <x v="129"/>
    <x v="129"/>
    <x v="0"/>
    <x v="0"/>
    <x v="0"/>
    <s v="App Subscription"/>
    <x v="3"/>
    <x v="128"/>
    <n v="24"/>
    <x v="129"/>
  </r>
  <r>
    <x v="130"/>
    <x v="130"/>
    <x v="1"/>
    <x v="3"/>
    <x v="3"/>
    <s v="App Subscription"/>
    <x v="2"/>
    <x v="129"/>
    <n v="28"/>
    <x v="130"/>
  </r>
  <r>
    <x v="131"/>
    <x v="131"/>
    <x v="0"/>
    <x v="1"/>
    <x v="1"/>
    <s v="Fitness Program"/>
    <x v="0"/>
    <x v="130"/>
    <n v="47"/>
    <x v="131"/>
  </r>
  <r>
    <x v="132"/>
    <x v="132"/>
    <x v="3"/>
    <x v="2"/>
    <x v="2"/>
    <s v="Fitness Program"/>
    <x v="3"/>
    <x v="131"/>
    <n v="46"/>
    <x v="132"/>
  </r>
  <r>
    <x v="133"/>
    <x v="133"/>
    <x v="2"/>
    <x v="1"/>
    <x v="0"/>
    <s v="Fitness Program"/>
    <x v="1"/>
    <x v="132"/>
    <n v="43"/>
    <x v="133"/>
  </r>
  <r>
    <x v="134"/>
    <x v="134"/>
    <x v="3"/>
    <x v="4"/>
    <x v="2"/>
    <s v="App Subscription"/>
    <x v="2"/>
    <x v="133"/>
    <n v="19"/>
    <x v="134"/>
  </r>
  <r>
    <x v="135"/>
    <x v="135"/>
    <x v="0"/>
    <x v="2"/>
    <x v="0"/>
    <s v="Fitness Program"/>
    <x v="1"/>
    <x v="134"/>
    <n v="28"/>
    <x v="135"/>
  </r>
  <r>
    <x v="136"/>
    <x v="136"/>
    <x v="2"/>
    <x v="4"/>
    <x v="4"/>
    <s v="Insurance Plan"/>
    <x v="4"/>
    <x v="135"/>
    <n v="11"/>
    <x v="136"/>
  </r>
  <r>
    <x v="137"/>
    <x v="137"/>
    <x v="2"/>
    <x v="3"/>
    <x v="0"/>
    <s v="Retail Bundle"/>
    <x v="4"/>
    <x v="136"/>
    <n v="32"/>
    <x v="137"/>
  </r>
  <r>
    <x v="138"/>
    <x v="138"/>
    <x v="1"/>
    <x v="2"/>
    <x v="1"/>
    <s v="Insurance Plan"/>
    <x v="2"/>
    <x v="137"/>
    <n v="21"/>
    <x v="138"/>
  </r>
  <r>
    <x v="139"/>
    <x v="139"/>
    <x v="0"/>
    <x v="3"/>
    <x v="2"/>
    <s v="App Subscription"/>
    <x v="4"/>
    <x v="138"/>
    <n v="4"/>
    <x v="139"/>
  </r>
  <r>
    <x v="140"/>
    <x v="140"/>
    <x v="3"/>
    <x v="3"/>
    <x v="1"/>
    <s v="Software License"/>
    <x v="4"/>
    <x v="139"/>
    <n v="41"/>
    <x v="140"/>
  </r>
  <r>
    <x v="141"/>
    <x v="141"/>
    <x v="1"/>
    <x v="3"/>
    <x v="2"/>
    <s v="Fitness Program"/>
    <x v="0"/>
    <x v="140"/>
    <n v="40"/>
    <x v="141"/>
  </r>
  <r>
    <x v="142"/>
    <x v="142"/>
    <x v="0"/>
    <x v="1"/>
    <x v="3"/>
    <s v="Credit Package"/>
    <x v="0"/>
    <x v="141"/>
    <n v="27"/>
    <x v="142"/>
  </r>
  <r>
    <x v="143"/>
    <x v="143"/>
    <x v="0"/>
    <x v="2"/>
    <x v="3"/>
    <s v="Fitness Program"/>
    <x v="3"/>
    <x v="142"/>
    <n v="33"/>
    <x v="143"/>
  </r>
  <r>
    <x v="144"/>
    <x v="144"/>
    <x v="1"/>
    <x v="1"/>
    <x v="0"/>
    <s v="Credit Package"/>
    <x v="3"/>
    <x v="143"/>
    <n v="40"/>
    <x v="144"/>
  </r>
  <r>
    <x v="145"/>
    <x v="145"/>
    <x v="3"/>
    <x v="2"/>
    <x v="0"/>
    <s v="Fitness Program"/>
    <x v="3"/>
    <x v="144"/>
    <n v="14"/>
    <x v="145"/>
  </r>
  <r>
    <x v="146"/>
    <x v="146"/>
    <x v="2"/>
    <x v="1"/>
    <x v="3"/>
    <s v="App Subscription"/>
    <x v="4"/>
    <x v="145"/>
    <n v="8"/>
    <x v="146"/>
  </r>
  <r>
    <x v="147"/>
    <x v="147"/>
    <x v="3"/>
    <x v="3"/>
    <x v="2"/>
    <s v="Insurance Plan"/>
    <x v="0"/>
    <x v="146"/>
    <n v="27"/>
    <x v="147"/>
  </r>
  <r>
    <x v="148"/>
    <x v="148"/>
    <x v="1"/>
    <x v="4"/>
    <x v="4"/>
    <s v="Credit Package"/>
    <x v="1"/>
    <x v="147"/>
    <n v="47"/>
    <x v="148"/>
  </r>
  <r>
    <x v="149"/>
    <x v="149"/>
    <x v="3"/>
    <x v="3"/>
    <x v="0"/>
    <s v="Insurance Plan"/>
    <x v="3"/>
    <x v="148"/>
    <n v="25"/>
    <x v="149"/>
  </r>
  <r>
    <x v="150"/>
    <x v="150"/>
    <x v="1"/>
    <x v="3"/>
    <x v="2"/>
    <s v="Credit Package"/>
    <x v="2"/>
    <x v="149"/>
    <n v="28"/>
    <x v="150"/>
  </r>
  <r>
    <x v="151"/>
    <x v="151"/>
    <x v="2"/>
    <x v="3"/>
    <x v="3"/>
    <s v="Retail Bundle"/>
    <x v="0"/>
    <x v="150"/>
    <n v="49"/>
    <x v="151"/>
  </r>
  <r>
    <x v="152"/>
    <x v="152"/>
    <x v="2"/>
    <x v="0"/>
    <x v="3"/>
    <s v="Insurance Plan"/>
    <x v="0"/>
    <x v="151"/>
    <n v="18"/>
    <x v="152"/>
  </r>
  <r>
    <x v="153"/>
    <x v="153"/>
    <x v="1"/>
    <x v="3"/>
    <x v="3"/>
    <s v="Software License"/>
    <x v="2"/>
    <x v="152"/>
    <n v="30"/>
    <x v="153"/>
  </r>
  <r>
    <x v="154"/>
    <x v="154"/>
    <x v="2"/>
    <x v="4"/>
    <x v="4"/>
    <s v="Retail Bundle"/>
    <x v="3"/>
    <x v="153"/>
    <n v="30"/>
    <x v="154"/>
  </r>
  <r>
    <x v="155"/>
    <x v="155"/>
    <x v="3"/>
    <x v="1"/>
    <x v="1"/>
    <s v="Fitness Program"/>
    <x v="2"/>
    <x v="154"/>
    <n v="22"/>
    <x v="155"/>
  </r>
  <r>
    <x v="156"/>
    <x v="156"/>
    <x v="0"/>
    <x v="3"/>
    <x v="4"/>
    <s v="Medical Device"/>
    <x v="4"/>
    <x v="155"/>
    <n v="12"/>
    <x v="156"/>
  </r>
  <r>
    <x v="157"/>
    <x v="157"/>
    <x v="1"/>
    <x v="4"/>
    <x v="2"/>
    <s v="Online Course"/>
    <x v="3"/>
    <x v="156"/>
    <n v="35"/>
    <x v="157"/>
  </r>
  <r>
    <x v="158"/>
    <x v="158"/>
    <x v="1"/>
    <x v="4"/>
    <x v="4"/>
    <s v="Insurance Plan"/>
    <x v="1"/>
    <x v="157"/>
    <n v="48"/>
    <x v="158"/>
  </r>
  <r>
    <x v="159"/>
    <x v="159"/>
    <x v="0"/>
    <x v="2"/>
    <x v="2"/>
    <s v="Insurance Plan"/>
    <x v="2"/>
    <x v="158"/>
    <n v="7"/>
    <x v="159"/>
  </r>
  <r>
    <x v="160"/>
    <x v="160"/>
    <x v="0"/>
    <x v="4"/>
    <x v="3"/>
    <s v="Retail Bundle"/>
    <x v="4"/>
    <x v="159"/>
    <n v="6"/>
    <x v="160"/>
  </r>
  <r>
    <x v="161"/>
    <x v="161"/>
    <x v="0"/>
    <x v="2"/>
    <x v="0"/>
    <s v="Credit Package"/>
    <x v="3"/>
    <x v="160"/>
    <n v="10"/>
    <x v="161"/>
  </r>
  <r>
    <x v="162"/>
    <x v="162"/>
    <x v="1"/>
    <x v="1"/>
    <x v="1"/>
    <s v="Retail Bundle"/>
    <x v="4"/>
    <x v="161"/>
    <n v="11"/>
    <x v="162"/>
  </r>
  <r>
    <x v="163"/>
    <x v="163"/>
    <x v="3"/>
    <x v="1"/>
    <x v="2"/>
    <s v="Medical Device"/>
    <x v="2"/>
    <x v="162"/>
    <n v="14"/>
    <x v="163"/>
  </r>
  <r>
    <x v="164"/>
    <x v="164"/>
    <x v="2"/>
    <x v="1"/>
    <x v="2"/>
    <s v="App Subscription"/>
    <x v="4"/>
    <x v="163"/>
    <n v="2"/>
    <x v="164"/>
  </r>
  <r>
    <x v="165"/>
    <x v="165"/>
    <x v="0"/>
    <x v="4"/>
    <x v="4"/>
    <s v="Fitness Program"/>
    <x v="0"/>
    <x v="164"/>
    <n v="36"/>
    <x v="165"/>
  </r>
  <r>
    <x v="166"/>
    <x v="166"/>
    <x v="2"/>
    <x v="2"/>
    <x v="3"/>
    <s v="Fitness Program"/>
    <x v="0"/>
    <x v="165"/>
    <n v="6"/>
    <x v="166"/>
  </r>
  <r>
    <x v="167"/>
    <x v="167"/>
    <x v="3"/>
    <x v="3"/>
    <x v="4"/>
    <s v="Credit Package"/>
    <x v="0"/>
    <x v="166"/>
    <n v="5"/>
    <x v="167"/>
  </r>
  <r>
    <x v="168"/>
    <x v="168"/>
    <x v="2"/>
    <x v="4"/>
    <x v="0"/>
    <s v="Fitness Program"/>
    <x v="1"/>
    <x v="167"/>
    <n v="12"/>
    <x v="168"/>
  </r>
  <r>
    <x v="169"/>
    <x v="169"/>
    <x v="0"/>
    <x v="1"/>
    <x v="1"/>
    <s v="Credit Package"/>
    <x v="3"/>
    <x v="168"/>
    <n v="49"/>
    <x v="169"/>
  </r>
  <r>
    <x v="170"/>
    <x v="170"/>
    <x v="3"/>
    <x v="4"/>
    <x v="1"/>
    <s v="App Subscription"/>
    <x v="0"/>
    <x v="169"/>
    <n v="19"/>
    <x v="170"/>
  </r>
  <r>
    <x v="171"/>
    <x v="171"/>
    <x v="3"/>
    <x v="4"/>
    <x v="2"/>
    <s v="Online Course"/>
    <x v="3"/>
    <x v="170"/>
    <n v="10"/>
    <x v="171"/>
  </r>
  <r>
    <x v="172"/>
    <x v="172"/>
    <x v="0"/>
    <x v="2"/>
    <x v="3"/>
    <s v="Retail Bundle"/>
    <x v="4"/>
    <x v="171"/>
    <n v="5"/>
    <x v="172"/>
  </r>
  <r>
    <x v="173"/>
    <x v="173"/>
    <x v="1"/>
    <x v="0"/>
    <x v="4"/>
    <s v="Software License"/>
    <x v="2"/>
    <x v="172"/>
    <n v="28"/>
    <x v="173"/>
  </r>
  <r>
    <x v="174"/>
    <x v="174"/>
    <x v="1"/>
    <x v="0"/>
    <x v="3"/>
    <s v="Fitness Program"/>
    <x v="2"/>
    <x v="173"/>
    <n v="49"/>
    <x v="174"/>
  </r>
  <r>
    <x v="175"/>
    <x v="175"/>
    <x v="1"/>
    <x v="1"/>
    <x v="0"/>
    <s v="Software License"/>
    <x v="0"/>
    <x v="174"/>
    <n v="26"/>
    <x v="175"/>
  </r>
  <r>
    <x v="176"/>
    <x v="176"/>
    <x v="3"/>
    <x v="1"/>
    <x v="1"/>
    <s v="Medical Device"/>
    <x v="2"/>
    <x v="175"/>
    <n v="3"/>
    <x v="176"/>
  </r>
  <r>
    <x v="177"/>
    <x v="177"/>
    <x v="2"/>
    <x v="3"/>
    <x v="1"/>
    <s v="Credit Package"/>
    <x v="0"/>
    <x v="176"/>
    <n v="40"/>
    <x v="177"/>
  </r>
  <r>
    <x v="178"/>
    <x v="178"/>
    <x v="0"/>
    <x v="2"/>
    <x v="1"/>
    <s v="Online Course"/>
    <x v="3"/>
    <x v="177"/>
    <n v="42"/>
    <x v="178"/>
  </r>
  <r>
    <x v="179"/>
    <x v="179"/>
    <x v="0"/>
    <x v="3"/>
    <x v="2"/>
    <s v="Credit Package"/>
    <x v="1"/>
    <x v="178"/>
    <n v="17"/>
    <x v="179"/>
  </r>
  <r>
    <x v="180"/>
    <x v="180"/>
    <x v="2"/>
    <x v="0"/>
    <x v="3"/>
    <s v="Medical Device"/>
    <x v="2"/>
    <x v="179"/>
    <n v="2"/>
    <x v="180"/>
  </r>
  <r>
    <x v="181"/>
    <x v="181"/>
    <x v="2"/>
    <x v="4"/>
    <x v="3"/>
    <s v="Insurance Plan"/>
    <x v="4"/>
    <x v="180"/>
    <n v="45"/>
    <x v="181"/>
  </r>
  <r>
    <x v="182"/>
    <x v="182"/>
    <x v="2"/>
    <x v="1"/>
    <x v="2"/>
    <s v="Online Course"/>
    <x v="1"/>
    <x v="181"/>
    <n v="35"/>
    <x v="182"/>
  </r>
  <r>
    <x v="183"/>
    <x v="183"/>
    <x v="0"/>
    <x v="1"/>
    <x v="0"/>
    <s v="Fitness Program"/>
    <x v="1"/>
    <x v="182"/>
    <n v="31"/>
    <x v="183"/>
  </r>
  <r>
    <x v="184"/>
    <x v="184"/>
    <x v="1"/>
    <x v="2"/>
    <x v="2"/>
    <s v="App Subscription"/>
    <x v="3"/>
    <x v="183"/>
    <n v="6"/>
    <x v="184"/>
  </r>
  <r>
    <x v="185"/>
    <x v="185"/>
    <x v="2"/>
    <x v="0"/>
    <x v="3"/>
    <s v="Fitness Program"/>
    <x v="3"/>
    <x v="184"/>
    <n v="47"/>
    <x v="185"/>
  </r>
  <r>
    <x v="186"/>
    <x v="186"/>
    <x v="2"/>
    <x v="0"/>
    <x v="2"/>
    <s v="Insurance Plan"/>
    <x v="1"/>
    <x v="185"/>
    <n v="39"/>
    <x v="186"/>
  </r>
  <r>
    <x v="187"/>
    <x v="187"/>
    <x v="0"/>
    <x v="1"/>
    <x v="2"/>
    <s v="Fitness Program"/>
    <x v="3"/>
    <x v="186"/>
    <n v="27"/>
    <x v="187"/>
  </r>
  <r>
    <x v="188"/>
    <x v="188"/>
    <x v="1"/>
    <x v="3"/>
    <x v="3"/>
    <s v="Retail Bundle"/>
    <x v="0"/>
    <x v="187"/>
    <n v="12"/>
    <x v="188"/>
  </r>
  <r>
    <x v="189"/>
    <x v="189"/>
    <x v="0"/>
    <x v="1"/>
    <x v="1"/>
    <s v="Medical Device"/>
    <x v="1"/>
    <x v="188"/>
    <n v="4"/>
    <x v="189"/>
  </r>
  <r>
    <x v="190"/>
    <x v="190"/>
    <x v="2"/>
    <x v="3"/>
    <x v="1"/>
    <s v="Software License"/>
    <x v="4"/>
    <x v="189"/>
    <n v="34"/>
    <x v="190"/>
  </r>
  <r>
    <x v="191"/>
    <x v="191"/>
    <x v="2"/>
    <x v="1"/>
    <x v="4"/>
    <s v="Software License"/>
    <x v="1"/>
    <x v="190"/>
    <n v="25"/>
    <x v="191"/>
  </r>
  <r>
    <x v="192"/>
    <x v="192"/>
    <x v="2"/>
    <x v="3"/>
    <x v="0"/>
    <s v="Retail Bundle"/>
    <x v="2"/>
    <x v="191"/>
    <n v="15"/>
    <x v="192"/>
  </r>
  <r>
    <x v="193"/>
    <x v="193"/>
    <x v="2"/>
    <x v="1"/>
    <x v="1"/>
    <s v="Credit Package"/>
    <x v="2"/>
    <x v="192"/>
    <n v="18"/>
    <x v="193"/>
  </r>
  <r>
    <x v="194"/>
    <x v="194"/>
    <x v="1"/>
    <x v="4"/>
    <x v="3"/>
    <s v="Retail Bundle"/>
    <x v="1"/>
    <x v="193"/>
    <n v="33"/>
    <x v="194"/>
  </r>
  <r>
    <x v="195"/>
    <x v="195"/>
    <x v="2"/>
    <x v="2"/>
    <x v="4"/>
    <s v="App Subscription"/>
    <x v="4"/>
    <x v="194"/>
    <n v="2"/>
    <x v="195"/>
  </r>
  <r>
    <x v="196"/>
    <x v="196"/>
    <x v="3"/>
    <x v="2"/>
    <x v="3"/>
    <s v="Medical Device"/>
    <x v="0"/>
    <x v="195"/>
    <n v="37"/>
    <x v="196"/>
  </r>
  <r>
    <x v="197"/>
    <x v="197"/>
    <x v="1"/>
    <x v="1"/>
    <x v="3"/>
    <s v="Fitness Program"/>
    <x v="3"/>
    <x v="196"/>
    <n v="49"/>
    <x v="197"/>
  </r>
  <r>
    <x v="198"/>
    <x v="198"/>
    <x v="0"/>
    <x v="0"/>
    <x v="4"/>
    <s v="App Subscription"/>
    <x v="0"/>
    <x v="197"/>
    <n v="25"/>
    <x v="198"/>
  </r>
  <r>
    <x v="199"/>
    <x v="199"/>
    <x v="1"/>
    <x v="0"/>
    <x v="0"/>
    <s v="Software License"/>
    <x v="0"/>
    <x v="198"/>
    <n v="26"/>
    <x v="199"/>
  </r>
  <r>
    <x v="200"/>
    <x v="200"/>
    <x v="3"/>
    <x v="4"/>
    <x v="4"/>
    <s v="Software License"/>
    <x v="0"/>
    <x v="199"/>
    <n v="21"/>
    <x v="200"/>
  </r>
  <r>
    <x v="201"/>
    <x v="201"/>
    <x v="2"/>
    <x v="4"/>
    <x v="0"/>
    <s v="Insurance Plan"/>
    <x v="2"/>
    <x v="200"/>
    <n v="22"/>
    <x v="201"/>
  </r>
  <r>
    <x v="202"/>
    <x v="202"/>
    <x v="0"/>
    <x v="3"/>
    <x v="1"/>
    <s v="Credit Package"/>
    <x v="1"/>
    <x v="201"/>
    <n v="22"/>
    <x v="202"/>
  </r>
  <r>
    <x v="203"/>
    <x v="203"/>
    <x v="1"/>
    <x v="1"/>
    <x v="4"/>
    <s v="Medical Device"/>
    <x v="4"/>
    <x v="202"/>
    <n v="15"/>
    <x v="203"/>
  </r>
  <r>
    <x v="204"/>
    <x v="204"/>
    <x v="0"/>
    <x v="4"/>
    <x v="3"/>
    <s v="Software License"/>
    <x v="0"/>
    <x v="203"/>
    <n v="27"/>
    <x v="204"/>
  </r>
  <r>
    <x v="205"/>
    <x v="205"/>
    <x v="2"/>
    <x v="2"/>
    <x v="4"/>
    <s v="Software License"/>
    <x v="3"/>
    <x v="204"/>
    <n v="14"/>
    <x v="205"/>
  </r>
  <r>
    <x v="206"/>
    <x v="206"/>
    <x v="3"/>
    <x v="2"/>
    <x v="1"/>
    <s v="App Subscription"/>
    <x v="3"/>
    <x v="205"/>
    <n v="29"/>
    <x v="206"/>
  </r>
  <r>
    <x v="207"/>
    <x v="207"/>
    <x v="3"/>
    <x v="4"/>
    <x v="2"/>
    <s v="Medical Device"/>
    <x v="1"/>
    <x v="206"/>
    <n v="1"/>
    <x v="207"/>
  </r>
  <r>
    <x v="208"/>
    <x v="208"/>
    <x v="1"/>
    <x v="4"/>
    <x v="4"/>
    <s v="Online Course"/>
    <x v="3"/>
    <x v="207"/>
    <n v="12"/>
    <x v="208"/>
  </r>
  <r>
    <x v="209"/>
    <x v="209"/>
    <x v="3"/>
    <x v="1"/>
    <x v="0"/>
    <s v="Insurance Plan"/>
    <x v="4"/>
    <x v="208"/>
    <n v="2"/>
    <x v="209"/>
  </r>
  <r>
    <x v="210"/>
    <x v="210"/>
    <x v="0"/>
    <x v="2"/>
    <x v="1"/>
    <s v="Insurance Plan"/>
    <x v="2"/>
    <x v="209"/>
    <n v="38"/>
    <x v="210"/>
  </r>
  <r>
    <x v="211"/>
    <x v="211"/>
    <x v="3"/>
    <x v="3"/>
    <x v="0"/>
    <s v="Credit Package"/>
    <x v="3"/>
    <x v="210"/>
    <n v="9"/>
    <x v="211"/>
  </r>
  <r>
    <x v="212"/>
    <x v="212"/>
    <x v="0"/>
    <x v="4"/>
    <x v="0"/>
    <s v="Fitness Program"/>
    <x v="3"/>
    <x v="211"/>
    <n v="42"/>
    <x v="212"/>
  </r>
  <r>
    <x v="213"/>
    <x v="213"/>
    <x v="1"/>
    <x v="4"/>
    <x v="3"/>
    <s v="Online Course"/>
    <x v="4"/>
    <x v="212"/>
    <n v="36"/>
    <x v="213"/>
  </r>
  <r>
    <x v="214"/>
    <x v="214"/>
    <x v="0"/>
    <x v="2"/>
    <x v="2"/>
    <s v="Insurance Plan"/>
    <x v="1"/>
    <x v="213"/>
    <n v="26"/>
    <x v="214"/>
  </r>
  <r>
    <x v="215"/>
    <x v="215"/>
    <x v="1"/>
    <x v="3"/>
    <x v="0"/>
    <s v="Online Course"/>
    <x v="1"/>
    <x v="214"/>
    <n v="11"/>
    <x v="215"/>
  </r>
  <r>
    <x v="216"/>
    <x v="216"/>
    <x v="3"/>
    <x v="4"/>
    <x v="3"/>
    <s v="App Subscription"/>
    <x v="3"/>
    <x v="215"/>
    <n v="25"/>
    <x v="216"/>
  </r>
  <r>
    <x v="217"/>
    <x v="217"/>
    <x v="0"/>
    <x v="3"/>
    <x v="2"/>
    <s v="Insurance Plan"/>
    <x v="1"/>
    <x v="216"/>
    <n v="33"/>
    <x v="217"/>
  </r>
  <r>
    <x v="218"/>
    <x v="218"/>
    <x v="0"/>
    <x v="3"/>
    <x v="0"/>
    <s v="Retail Bundle"/>
    <x v="0"/>
    <x v="217"/>
    <n v="6"/>
    <x v="218"/>
  </r>
  <r>
    <x v="219"/>
    <x v="219"/>
    <x v="0"/>
    <x v="3"/>
    <x v="3"/>
    <s v="Insurance Plan"/>
    <x v="2"/>
    <x v="218"/>
    <n v="11"/>
    <x v="219"/>
  </r>
  <r>
    <x v="220"/>
    <x v="220"/>
    <x v="1"/>
    <x v="1"/>
    <x v="4"/>
    <s v="Credit Package"/>
    <x v="0"/>
    <x v="219"/>
    <n v="5"/>
    <x v="220"/>
  </r>
  <r>
    <x v="221"/>
    <x v="221"/>
    <x v="3"/>
    <x v="0"/>
    <x v="1"/>
    <s v="Fitness Program"/>
    <x v="3"/>
    <x v="220"/>
    <n v="1"/>
    <x v="221"/>
  </r>
  <r>
    <x v="222"/>
    <x v="222"/>
    <x v="3"/>
    <x v="0"/>
    <x v="2"/>
    <s v="Software License"/>
    <x v="2"/>
    <x v="221"/>
    <n v="19"/>
    <x v="222"/>
  </r>
  <r>
    <x v="223"/>
    <x v="223"/>
    <x v="0"/>
    <x v="4"/>
    <x v="0"/>
    <s v="Online Course"/>
    <x v="2"/>
    <x v="222"/>
    <n v="25"/>
    <x v="223"/>
  </r>
  <r>
    <x v="224"/>
    <x v="224"/>
    <x v="0"/>
    <x v="4"/>
    <x v="3"/>
    <s v="Online Course"/>
    <x v="0"/>
    <x v="223"/>
    <n v="39"/>
    <x v="224"/>
  </r>
  <r>
    <x v="225"/>
    <x v="225"/>
    <x v="1"/>
    <x v="3"/>
    <x v="2"/>
    <s v="Retail Bundle"/>
    <x v="1"/>
    <x v="224"/>
    <n v="1"/>
    <x v="225"/>
  </r>
  <r>
    <x v="226"/>
    <x v="226"/>
    <x v="0"/>
    <x v="1"/>
    <x v="4"/>
    <s v="App Subscription"/>
    <x v="4"/>
    <x v="225"/>
    <n v="1"/>
    <x v="226"/>
  </r>
  <r>
    <x v="227"/>
    <x v="227"/>
    <x v="3"/>
    <x v="0"/>
    <x v="1"/>
    <s v="Fitness Program"/>
    <x v="1"/>
    <x v="226"/>
    <n v="26"/>
    <x v="227"/>
  </r>
  <r>
    <x v="228"/>
    <x v="228"/>
    <x v="3"/>
    <x v="3"/>
    <x v="3"/>
    <s v="App Subscription"/>
    <x v="0"/>
    <x v="227"/>
    <n v="10"/>
    <x v="228"/>
  </r>
  <r>
    <x v="229"/>
    <x v="229"/>
    <x v="3"/>
    <x v="3"/>
    <x v="4"/>
    <s v="Software License"/>
    <x v="0"/>
    <x v="228"/>
    <n v="49"/>
    <x v="229"/>
  </r>
  <r>
    <x v="230"/>
    <x v="230"/>
    <x v="3"/>
    <x v="0"/>
    <x v="2"/>
    <s v="Insurance Plan"/>
    <x v="1"/>
    <x v="229"/>
    <n v="38"/>
    <x v="230"/>
  </r>
  <r>
    <x v="231"/>
    <x v="231"/>
    <x v="1"/>
    <x v="1"/>
    <x v="1"/>
    <s v="Retail Bundle"/>
    <x v="2"/>
    <x v="230"/>
    <n v="27"/>
    <x v="231"/>
  </r>
  <r>
    <x v="232"/>
    <x v="232"/>
    <x v="3"/>
    <x v="1"/>
    <x v="0"/>
    <s v="Insurance Plan"/>
    <x v="4"/>
    <x v="231"/>
    <n v="45"/>
    <x v="232"/>
  </r>
  <r>
    <x v="233"/>
    <x v="233"/>
    <x v="3"/>
    <x v="4"/>
    <x v="4"/>
    <s v="App Subscription"/>
    <x v="1"/>
    <x v="232"/>
    <n v="35"/>
    <x v="233"/>
  </r>
  <r>
    <x v="234"/>
    <x v="234"/>
    <x v="3"/>
    <x v="2"/>
    <x v="3"/>
    <s v="App Subscription"/>
    <x v="3"/>
    <x v="233"/>
    <n v="10"/>
    <x v="234"/>
  </r>
  <r>
    <x v="235"/>
    <x v="235"/>
    <x v="2"/>
    <x v="0"/>
    <x v="0"/>
    <s v="App Subscription"/>
    <x v="2"/>
    <x v="234"/>
    <n v="20"/>
    <x v="235"/>
  </r>
  <r>
    <x v="236"/>
    <x v="236"/>
    <x v="1"/>
    <x v="1"/>
    <x v="4"/>
    <s v="App Subscription"/>
    <x v="3"/>
    <x v="235"/>
    <n v="38"/>
    <x v="236"/>
  </r>
  <r>
    <x v="237"/>
    <x v="237"/>
    <x v="2"/>
    <x v="0"/>
    <x v="0"/>
    <s v="Insurance Plan"/>
    <x v="0"/>
    <x v="236"/>
    <n v="17"/>
    <x v="237"/>
  </r>
  <r>
    <x v="238"/>
    <x v="238"/>
    <x v="0"/>
    <x v="3"/>
    <x v="4"/>
    <s v="Insurance Plan"/>
    <x v="2"/>
    <x v="237"/>
    <n v="22"/>
    <x v="238"/>
  </r>
  <r>
    <x v="239"/>
    <x v="239"/>
    <x v="1"/>
    <x v="4"/>
    <x v="0"/>
    <s v="Credit Package"/>
    <x v="2"/>
    <x v="238"/>
    <n v="31"/>
    <x v="239"/>
  </r>
  <r>
    <x v="240"/>
    <x v="240"/>
    <x v="0"/>
    <x v="2"/>
    <x v="4"/>
    <s v="Credit Package"/>
    <x v="3"/>
    <x v="239"/>
    <n v="44"/>
    <x v="240"/>
  </r>
  <r>
    <x v="241"/>
    <x v="241"/>
    <x v="2"/>
    <x v="1"/>
    <x v="4"/>
    <s v="Fitness Program"/>
    <x v="2"/>
    <x v="240"/>
    <n v="6"/>
    <x v="241"/>
  </r>
  <r>
    <x v="242"/>
    <x v="242"/>
    <x v="2"/>
    <x v="2"/>
    <x v="3"/>
    <s v="Retail Bundle"/>
    <x v="1"/>
    <x v="241"/>
    <n v="28"/>
    <x v="242"/>
  </r>
  <r>
    <x v="243"/>
    <x v="243"/>
    <x v="1"/>
    <x v="1"/>
    <x v="0"/>
    <s v="Medical Device"/>
    <x v="0"/>
    <x v="242"/>
    <n v="39"/>
    <x v="243"/>
  </r>
  <r>
    <x v="244"/>
    <x v="244"/>
    <x v="3"/>
    <x v="2"/>
    <x v="0"/>
    <s v="Online Course"/>
    <x v="0"/>
    <x v="243"/>
    <n v="6"/>
    <x v="244"/>
  </r>
  <r>
    <x v="245"/>
    <x v="245"/>
    <x v="0"/>
    <x v="1"/>
    <x v="2"/>
    <s v="Credit Package"/>
    <x v="2"/>
    <x v="244"/>
    <n v="14"/>
    <x v="245"/>
  </r>
  <r>
    <x v="246"/>
    <x v="246"/>
    <x v="0"/>
    <x v="1"/>
    <x v="3"/>
    <s v="Credit Package"/>
    <x v="1"/>
    <x v="245"/>
    <n v="4"/>
    <x v="246"/>
  </r>
  <r>
    <x v="247"/>
    <x v="247"/>
    <x v="0"/>
    <x v="4"/>
    <x v="2"/>
    <s v="Retail Bundle"/>
    <x v="3"/>
    <x v="246"/>
    <n v="20"/>
    <x v="247"/>
  </r>
  <r>
    <x v="248"/>
    <x v="248"/>
    <x v="2"/>
    <x v="4"/>
    <x v="4"/>
    <s v="Retail Bundle"/>
    <x v="3"/>
    <x v="247"/>
    <n v="45"/>
    <x v="248"/>
  </r>
  <r>
    <x v="249"/>
    <x v="249"/>
    <x v="0"/>
    <x v="0"/>
    <x v="4"/>
    <s v="Software License"/>
    <x v="1"/>
    <x v="248"/>
    <n v="10"/>
    <x v="249"/>
  </r>
  <r>
    <x v="250"/>
    <x v="250"/>
    <x v="0"/>
    <x v="1"/>
    <x v="2"/>
    <s v="Software License"/>
    <x v="0"/>
    <x v="249"/>
    <n v="11"/>
    <x v="250"/>
  </r>
  <r>
    <x v="251"/>
    <x v="251"/>
    <x v="1"/>
    <x v="0"/>
    <x v="0"/>
    <s v="Online Course"/>
    <x v="0"/>
    <x v="250"/>
    <n v="44"/>
    <x v="251"/>
  </r>
  <r>
    <x v="252"/>
    <x v="252"/>
    <x v="2"/>
    <x v="3"/>
    <x v="2"/>
    <s v="Software License"/>
    <x v="2"/>
    <x v="251"/>
    <n v="39"/>
    <x v="252"/>
  </r>
  <r>
    <x v="253"/>
    <x v="253"/>
    <x v="2"/>
    <x v="4"/>
    <x v="4"/>
    <s v="Software License"/>
    <x v="3"/>
    <x v="252"/>
    <n v="26"/>
    <x v="253"/>
  </r>
  <r>
    <x v="254"/>
    <x v="254"/>
    <x v="3"/>
    <x v="1"/>
    <x v="2"/>
    <s v="Fitness Program"/>
    <x v="3"/>
    <x v="253"/>
    <n v="37"/>
    <x v="254"/>
  </r>
  <r>
    <x v="255"/>
    <x v="255"/>
    <x v="1"/>
    <x v="4"/>
    <x v="3"/>
    <s v="Insurance Plan"/>
    <x v="2"/>
    <x v="254"/>
    <n v="8"/>
    <x v="255"/>
  </r>
  <r>
    <x v="256"/>
    <x v="256"/>
    <x v="2"/>
    <x v="2"/>
    <x v="1"/>
    <s v="Software License"/>
    <x v="0"/>
    <x v="255"/>
    <n v="45"/>
    <x v="256"/>
  </r>
  <r>
    <x v="257"/>
    <x v="257"/>
    <x v="3"/>
    <x v="4"/>
    <x v="4"/>
    <s v="Insurance Plan"/>
    <x v="2"/>
    <x v="256"/>
    <n v="3"/>
    <x v="257"/>
  </r>
  <r>
    <x v="258"/>
    <x v="258"/>
    <x v="0"/>
    <x v="0"/>
    <x v="3"/>
    <s v="App Subscription"/>
    <x v="0"/>
    <x v="257"/>
    <n v="29"/>
    <x v="258"/>
  </r>
  <r>
    <x v="259"/>
    <x v="259"/>
    <x v="1"/>
    <x v="1"/>
    <x v="3"/>
    <s v="App Subscription"/>
    <x v="0"/>
    <x v="258"/>
    <n v="40"/>
    <x v="259"/>
  </r>
  <r>
    <x v="260"/>
    <x v="260"/>
    <x v="3"/>
    <x v="0"/>
    <x v="4"/>
    <s v="Retail Bundle"/>
    <x v="1"/>
    <x v="259"/>
    <n v="13"/>
    <x v="260"/>
  </r>
  <r>
    <x v="261"/>
    <x v="261"/>
    <x v="3"/>
    <x v="1"/>
    <x v="2"/>
    <s v="Software License"/>
    <x v="2"/>
    <x v="260"/>
    <n v="17"/>
    <x v="261"/>
  </r>
  <r>
    <x v="262"/>
    <x v="262"/>
    <x v="2"/>
    <x v="1"/>
    <x v="1"/>
    <s v="Medical Device"/>
    <x v="0"/>
    <x v="261"/>
    <n v="31"/>
    <x v="262"/>
  </r>
  <r>
    <x v="263"/>
    <x v="263"/>
    <x v="2"/>
    <x v="2"/>
    <x v="2"/>
    <s v="Fitness Program"/>
    <x v="3"/>
    <x v="262"/>
    <n v="27"/>
    <x v="263"/>
  </r>
  <r>
    <x v="264"/>
    <x v="264"/>
    <x v="1"/>
    <x v="3"/>
    <x v="0"/>
    <s v="Credit Package"/>
    <x v="1"/>
    <x v="263"/>
    <n v="9"/>
    <x v="264"/>
  </r>
  <r>
    <x v="265"/>
    <x v="265"/>
    <x v="2"/>
    <x v="2"/>
    <x v="2"/>
    <s v="App Subscription"/>
    <x v="3"/>
    <x v="264"/>
    <n v="19"/>
    <x v="265"/>
  </r>
  <r>
    <x v="266"/>
    <x v="266"/>
    <x v="0"/>
    <x v="2"/>
    <x v="4"/>
    <s v="Medical Device"/>
    <x v="2"/>
    <x v="265"/>
    <n v="35"/>
    <x v="266"/>
  </r>
  <r>
    <x v="267"/>
    <x v="267"/>
    <x v="2"/>
    <x v="1"/>
    <x v="2"/>
    <s v="Medical Device"/>
    <x v="4"/>
    <x v="266"/>
    <n v="17"/>
    <x v="267"/>
  </r>
  <r>
    <x v="268"/>
    <x v="268"/>
    <x v="0"/>
    <x v="0"/>
    <x v="4"/>
    <s v="App Subscription"/>
    <x v="2"/>
    <x v="267"/>
    <n v="24"/>
    <x v="268"/>
  </r>
  <r>
    <x v="269"/>
    <x v="269"/>
    <x v="1"/>
    <x v="3"/>
    <x v="3"/>
    <s v="Online Course"/>
    <x v="2"/>
    <x v="268"/>
    <n v="24"/>
    <x v="269"/>
  </r>
  <r>
    <x v="270"/>
    <x v="270"/>
    <x v="0"/>
    <x v="4"/>
    <x v="3"/>
    <s v="Retail Bundle"/>
    <x v="1"/>
    <x v="269"/>
    <n v="4"/>
    <x v="270"/>
  </r>
  <r>
    <x v="271"/>
    <x v="271"/>
    <x v="3"/>
    <x v="3"/>
    <x v="1"/>
    <s v="Credit Package"/>
    <x v="4"/>
    <x v="270"/>
    <n v="48"/>
    <x v="271"/>
  </r>
  <r>
    <x v="272"/>
    <x v="272"/>
    <x v="0"/>
    <x v="3"/>
    <x v="4"/>
    <s v="Insurance Plan"/>
    <x v="0"/>
    <x v="271"/>
    <n v="22"/>
    <x v="272"/>
  </r>
  <r>
    <x v="273"/>
    <x v="273"/>
    <x v="2"/>
    <x v="3"/>
    <x v="0"/>
    <s v="Fitness Program"/>
    <x v="2"/>
    <x v="272"/>
    <n v="29"/>
    <x v="273"/>
  </r>
  <r>
    <x v="274"/>
    <x v="274"/>
    <x v="3"/>
    <x v="3"/>
    <x v="2"/>
    <s v="Insurance Plan"/>
    <x v="3"/>
    <x v="273"/>
    <n v="18"/>
    <x v="274"/>
  </r>
  <r>
    <x v="275"/>
    <x v="275"/>
    <x v="3"/>
    <x v="1"/>
    <x v="3"/>
    <s v="Online Course"/>
    <x v="3"/>
    <x v="274"/>
    <n v="21"/>
    <x v="275"/>
  </r>
  <r>
    <x v="276"/>
    <x v="276"/>
    <x v="2"/>
    <x v="1"/>
    <x v="3"/>
    <s v="Credit Package"/>
    <x v="0"/>
    <x v="275"/>
    <n v="42"/>
    <x v="276"/>
  </r>
  <r>
    <x v="277"/>
    <x v="277"/>
    <x v="2"/>
    <x v="3"/>
    <x v="0"/>
    <s v="Fitness Program"/>
    <x v="3"/>
    <x v="276"/>
    <n v="46"/>
    <x v="277"/>
  </r>
  <r>
    <x v="278"/>
    <x v="278"/>
    <x v="0"/>
    <x v="0"/>
    <x v="3"/>
    <s v="Fitness Program"/>
    <x v="1"/>
    <x v="277"/>
    <n v="6"/>
    <x v="278"/>
  </r>
  <r>
    <x v="279"/>
    <x v="279"/>
    <x v="1"/>
    <x v="0"/>
    <x v="0"/>
    <s v="Medical Device"/>
    <x v="1"/>
    <x v="278"/>
    <n v="20"/>
    <x v="279"/>
  </r>
  <r>
    <x v="280"/>
    <x v="280"/>
    <x v="1"/>
    <x v="1"/>
    <x v="1"/>
    <s v="Insurance Plan"/>
    <x v="0"/>
    <x v="279"/>
    <n v="33"/>
    <x v="280"/>
  </r>
  <r>
    <x v="281"/>
    <x v="281"/>
    <x v="3"/>
    <x v="0"/>
    <x v="3"/>
    <s v="Medical Device"/>
    <x v="0"/>
    <x v="280"/>
    <n v="35"/>
    <x v="281"/>
  </r>
  <r>
    <x v="282"/>
    <x v="282"/>
    <x v="3"/>
    <x v="2"/>
    <x v="4"/>
    <s v="App Subscription"/>
    <x v="2"/>
    <x v="281"/>
    <n v="48"/>
    <x v="282"/>
  </r>
  <r>
    <x v="283"/>
    <x v="283"/>
    <x v="1"/>
    <x v="4"/>
    <x v="2"/>
    <s v="Credit Package"/>
    <x v="4"/>
    <x v="282"/>
    <n v="40"/>
    <x v="283"/>
  </r>
  <r>
    <x v="284"/>
    <x v="284"/>
    <x v="0"/>
    <x v="0"/>
    <x v="1"/>
    <s v="Online Course"/>
    <x v="4"/>
    <x v="283"/>
    <n v="46"/>
    <x v="284"/>
  </r>
  <r>
    <x v="285"/>
    <x v="285"/>
    <x v="3"/>
    <x v="4"/>
    <x v="1"/>
    <s v="Retail Bundle"/>
    <x v="4"/>
    <x v="284"/>
    <n v="36"/>
    <x v="285"/>
  </r>
  <r>
    <x v="286"/>
    <x v="286"/>
    <x v="3"/>
    <x v="4"/>
    <x v="4"/>
    <s v="App Subscription"/>
    <x v="0"/>
    <x v="285"/>
    <n v="29"/>
    <x v="286"/>
  </r>
  <r>
    <x v="287"/>
    <x v="287"/>
    <x v="3"/>
    <x v="0"/>
    <x v="3"/>
    <s v="Fitness Program"/>
    <x v="3"/>
    <x v="286"/>
    <n v="15"/>
    <x v="287"/>
  </r>
  <r>
    <x v="288"/>
    <x v="288"/>
    <x v="1"/>
    <x v="0"/>
    <x v="4"/>
    <s v="App Subscription"/>
    <x v="4"/>
    <x v="287"/>
    <n v="11"/>
    <x v="288"/>
  </r>
  <r>
    <x v="289"/>
    <x v="289"/>
    <x v="2"/>
    <x v="1"/>
    <x v="0"/>
    <s v="Online Course"/>
    <x v="4"/>
    <x v="288"/>
    <n v="5"/>
    <x v="289"/>
  </r>
  <r>
    <x v="290"/>
    <x v="290"/>
    <x v="1"/>
    <x v="3"/>
    <x v="4"/>
    <s v="Insurance Plan"/>
    <x v="4"/>
    <x v="289"/>
    <n v="8"/>
    <x v="290"/>
  </r>
  <r>
    <x v="291"/>
    <x v="291"/>
    <x v="1"/>
    <x v="2"/>
    <x v="0"/>
    <s v="App Subscription"/>
    <x v="4"/>
    <x v="290"/>
    <n v="42"/>
    <x v="291"/>
  </r>
  <r>
    <x v="292"/>
    <x v="292"/>
    <x v="2"/>
    <x v="0"/>
    <x v="1"/>
    <s v="Retail Bundle"/>
    <x v="2"/>
    <x v="291"/>
    <n v="1"/>
    <x v="292"/>
  </r>
  <r>
    <x v="293"/>
    <x v="293"/>
    <x v="3"/>
    <x v="1"/>
    <x v="1"/>
    <s v="Fitness Program"/>
    <x v="2"/>
    <x v="292"/>
    <n v="26"/>
    <x v="293"/>
  </r>
  <r>
    <x v="294"/>
    <x v="294"/>
    <x v="0"/>
    <x v="1"/>
    <x v="0"/>
    <s v="Fitness Program"/>
    <x v="3"/>
    <x v="293"/>
    <n v="3"/>
    <x v="294"/>
  </r>
  <r>
    <x v="295"/>
    <x v="295"/>
    <x v="1"/>
    <x v="1"/>
    <x v="1"/>
    <s v="Fitness Program"/>
    <x v="4"/>
    <x v="294"/>
    <n v="18"/>
    <x v="295"/>
  </r>
  <r>
    <x v="296"/>
    <x v="296"/>
    <x v="0"/>
    <x v="2"/>
    <x v="3"/>
    <s v="Fitness Program"/>
    <x v="0"/>
    <x v="295"/>
    <n v="29"/>
    <x v="296"/>
  </r>
  <r>
    <x v="297"/>
    <x v="297"/>
    <x v="1"/>
    <x v="3"/>
    <x v="2"/>
    <s v="Retail Bundle"/>
    <x v="3"/>
    <x v="296"/>
    <n v="29"/>
    <x v="297"/>
  </r>
  <r>
    <x v="298"/>
    <x v="298"/>
    <x v="3"/>
    <x v="3"/>
    <x v="3"/>
    <s v="Online Course"/>
    <x v="0"/>
    <x v="297"/>
    <n v="18"/>
    <x v="298"/>
  </r>
  <r>
    <x v="299"/>
    <x v="299"/>
    <x v="2"/>
    <x v="2"/>
    <x v="4"/>
    <s v="Retail Bundle"/>
    <x v="1"/>
    <x v="298"/>
    <n v="27"/>
    <x v="2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6D48A-5E9E-4762-B0D8-214CE16E6BD4}" name="PivotTable17" cacheId="7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5:B11" firstHeaderRow="1" firstDataRow="1" firstDataCol="1"/>
  <pivotFields count="11">
    <pivotField dataField="1" showAll="0">
      <items count="3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t="default"/>
      </items>
    </pivotField>
    <pivotField numFmtId="16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axis="axisRow" showAll="0">
      <items count="6">
        <item x="2"/>
        <item x="1"/>
        <item x="3"/>
        <item x="0"/>
        <item x="4"/>
        <item t="default"/>
      </items>
    </pivotField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Transaction ID" fld="0" subtotal="count" baseField="0" baseItem="0"/>
  </dataFields>
  <formats count="6">
    <format dxfId="32">
      <pivotArea type="all" dataOnly="0" outline="0" fieldPosition="0"/>
    </format>
    <format dxfId="33">
      <pivotArea outline="0" collapsedLevelsAreSubtotals="1" fieldPosition="0"/>
    </format>
    <format dxfId="34">
      <pivotArea field="4" type="button" dataOnly="0" labelOnly="1" outline="0" axis="axisRow" fieldPosition="0"/>
    </format>
    <format dxfId="35">
      <pivotArea dataOnly="0" labelOnly="1" fieldPosition="0">
        <references count="1">
          <reference field="4" count="0"/>
        </references>
      </pivotArea>
    </format>
    <format dxfId="36">
      <pivotArea dataOnly="0" labelOnly="1" grandRow="1" outline="0" fieldPosition="0"/>
    </format>
    <format dxfId="37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7E3A5B-C36B-400C-A144-BBF31515E261}" name="PivotTable12" cacheId="7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119:B419" firstHeaderRow="1" firstDataRow="1" firstDataCol="1"/>
  <pivotFields count="11">
    <pivotField showAll="0"/>
    <pivotField numFmtId="164" showAll="0"/>
    <pivotField showAll="0"/>
    <pivotField showAll="0"/>
    <pivotField showAll="0"/>
    <pivotField showAll="0"/>
    <pivotField showAll="0"/>
    <pivotField axis="axisRow" showAll="0">
      <items count="300">
        <item x="12"/>
        <item x="164"/>
        <item x="191"/>
        <item x="50"/>
        <item x="207"/>
        <item x="174"/>
        <item x="294"/>
        <item x="111"/>
        <item x="116"/>
        <item x="152"/>
        <item x="69"/>
        <item x="206"/>
        <item x="169"/>
        <item x="72"/>
        <item x="2"/>
        <item x="260"/>
        <item x="60"/>
        <item x="25"/>
        <item x="1"/>
        <item x="160"/>
        <item x="202"/>
        <item x="109"/>
        <item x="17"/>
        <item x="82"/>
        <item x="149"/>
        <item x="249"/>
        <item x="240"/>
        <item x="31"/>
        <item x="229"/>
        <item x="168"/>
        <item x="77"/>
        <item x="253"/>
        <item x="133"/>
        <item x="224"/>
        <item x="67"/>
        <item x="246"/>
        <item x="41"/>
        <item x="24"/>
        <item x="62"/>
        <item x="115"/>
        <item x="208"/>
        <item x="287"/>
        <item x="23"/>
        <item x="106"/>
        <item x="298"/>
        <item x="217"/>
        <item x="15"/>
        <item x="267"/>
        <item x="27"/>
        <item x="137"/>
        <item x="148"/>
        <item x="181"/>
        <item x="93"/>
        <item x="293"/>
        <item x="85"/>
        <item x="273"/>
        <item x="233"/>
        <item x="127"/>
        <item x="194"/>
        <item x="277"/>
        <item x="46"/>
        <item x="205"/>
        <item x="159"/>
        <item x="251"/>
        <item x="183"/>
        <item x="209"/>
        <item x="297"/>
        <item x="291"/>
        <item x="80"/>
        <item x="47"/>
        <item x="20"/>
        <item x="5"/>
        <item x="245"/>
        <item x="247"/>
        <item x="105"/>
        <item x="190"/>
        <item x="9"/>
        <item x="221"/>
        <item x="283"/>
        <item x="161"/>
        <item x="227"/>
        <item x="58"/>
        <item x="268"/>
        <item x="189"/>
        <item x="128"/>
        <item x="214"/>
        <item x="75"/>
        <item x="282"/>
        <item x="70"/>
        <item x="38"/>
        <item x="280"/>
        <item x="234"/>
        <item x="213"/>
        <item x="126"/>
        <item x="256"/>
        <item x="78"/>
        <item x="91"/>
        <item x="102"/>
        <item x="86"/>
        <item x="243"/>
        <item x="32"/>
        <item x="59"/>
        <item x="6"/>
        <item x="39"/>
        <item x="173"/>
        <item x="257"/>
        <item x="120"/>
        <item x="172"/>
        <item x="151"/>
        <item x="68"/>
        <item x="34"/>
        <item x="66"/>
        <item x="40"/>
        <item x="112"/>
        <item x="184"/>
        <item x="222"/>
        <item x="197"/>
        <item x="52"/>
        <item x="274"/>
        <item x="43"/>
        <item x="289"/>
        <item x="286"/>
        <item x="18"/>
        <item x="146"/>
        <item x="89"/>
        <item x="33"/>
        <item x="35"/>
        <item x="186"/>
        <item x="136"/>
        <item x="218"/>
        <item x="135"/>
        <item x="290"/>
        <item x="264"/>
        <item x="10"/>
        <item x="279"/>
        <item x="250"/>
        <item x="237"/>
        <item x="158"/>
        <item x="276"/>
        <item x="142"/>
        <item x="179"/>
        <item x="211"/>
        <item x="36"/>
        <item x="94"/>
        <item x="242"/>
        <item x="131"/>
        <item x="288"/>
        <item x="195"/>
        <item x="228"/>
        <item x="238"/>
        <item x="124"/>
        <item x="200"/>
        <item x="134"/>
        <item x="64"/>
        <item x="281"/>
        <item x="203"/>
        <item x="230"/>
        <item x="95"/>
        <item x="104"/>
        <item x="83"/>
        <item x="212"/>
        <item x="74"/>
        <item x="232"/>
        <item x="28"/>
        <item x="252"/>
        <item x="266"/>
        <item x="87"/>
        <item x="63"/>
        <item x="270"/>
        <item x="215"/>
        <item x="49"/>
        <item x="14"/>
        <item x="223"/>
        <item x="113"/>
        <item x="144"/>
        <item x="26"/>
        <item x="192"/>
        <item x="19"/>
        <item x="117"/>
        <item x="121"/>
        <item x="110"/>
        <item x="88"/>
        <item x="269"/>
        <item x="96"/>
        <item x="258"/>
        <item x="188"/>
        <item x="225"/>
        <item x="153"/>
        <item x="8"/>
        <item x="138"/>
        <item x="235"/>
        <item x="51"/>
        <item x="71"/>
        <item x="42"/>
        <item x="162"/>
        <item x="201"/>
        <item x="140"/>
        <item x="108"/>
        <item x="171"/>
        <item x="219"/>
        <item x="114"/>
        <item x="84"/>
        <item x="284"/>
        <item x="139"/>
        <item x="182"/>
        <item x="248"/>
        <item x="261"/>
        <item x="167"/>
        <item x="132"/>
        <item x="22"/>
        <item x="56"/>
        <item x="295"/>
        <item x="147"/>
        <item x="99"/>
        <item x="0"/>
        <item x="272"/>
        <item x="97"/>
        <item x="122"/>
        <item x="129"/>
        <item x="81"/>
        <item x="170"/>
        <item x="259"/>
        <item x="296"/>
        <item x="141"/>
        <item x="216"/>
        <item x="54"/>
        <item x="37"/>
        <item x="204"/>
        <item x="107"/>
        <item x="166"/>
        <item x="155"/>
        <item x="292"/>
        <item x="254"/>
        <item x="275"/>
        <item x="244"/>
        <item x="48"/>
        <item x="53"/>
        <item x="92"/>
        <item x="263"/>
        <item x="285"/>
        <item x="98"/>
        <item x="119"/>
        <item x="16"/>
        <item x="271"/>
        <item x="210"/>
        <item x="4"/>
        <item x="100"/>
        <item x="239"/>
        <item x="65"/>
        <item x="262"/>
        <item x="165"/>
        <item x="178"/>
        <item x="118"/>
        <item x="29"/>
        <item x="45"/>
        <item x="265"/>
        <item x="7"/>
        <item x="199"/>
        <item x="103"/>
        <item x="76"/>
        <item x="176"/>
        <item x="193"/>
        <item x="180"/>
        <item x="143"/>
        <item x="11"/>
        <item x="236"/>
        <item x="61"/>
        <item x="185"/>
        <item x="123"/>
        <item x="125"/>
        <item x="30"/>
        <item x="145"/>
        <item x="130"/>
        <item x="21"/>
        <item x="101"/>
        <item x="187"/>
        <item x="163"/>
        <item x="57"/>
        <item x="44"/>
        <item x="55"/>
        <item x="255"/>
        <item x="150"/>
        <item x="3"/>
        <item x="154"/>
        <item x="157"/>
        <item x="278"/>
        <item x="79"/>
        <item x="198"/>
        <item x="241"/>
        <item x="220"/>
        <item x="231"/>
        <item x="177"/>
        <item x="226"/>
        <item x="196"/>
        <item x="156"/>
        <item x="73"/>
        <item x="13"/>
        <item x="175"/>
        <item x="90"/>
        <item t="default"/>
      </items>
    </pivotField>
    <pivotField showAll="0"/>
    <pivotField dataField="1" showAll="0"/>
    <pivotField showAll="0" defaultSubtotal="0"/>
  </pivotFields>
  <rowFields count="1">
    <field x="7"/>
  </rowFields>
  <rowItems count="30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 t="grand">
      <x/>
    </i>
  </rowItems>
  <colItems count="1">
    <i/>
  </colItems>
  <dataFields count="1">
    <dataField name="Sum of Net Profit" fld="9" baseField="0" baseItem="0"/>
  </dataFields>
  <formats count="11"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7" type="button" dataOnly="0" labelOnly="1" outline="0" axis="axisRow" fieldPosition="0"/>
    </format>
    <format dxfId="14">
      <pivotArea dataOnly="0" labelOnly="1" fieldPosition="0">
        <references count="1">
          <reference field="7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3">
      <pivotArea dataOnly="0" labelOnly="1" fieldPosition="0">
        <references count="1">
          <reference field="7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12">
      <pivotArea dataOnly="0" labelOnly="1" fieldPosition="0">
        <references count="1">
          <reference field="7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11">
      <pivotArea dataOnly="0" labelOnly="1" fieldPosition="0">
        <references count="1">
          <reference field="7" count="50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</reference>
        </references>
      </pivotArea>
    </format>
    <format dxfId="10">
      <pivotArea dataOnly="0" labelOnly="1" fieldPosition="0">
        <references count="1">
          <reference field="7" count="50"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</reference>
        </references>
      </pivotArea>
    </format>
    <format dxfId="9">
      <pivotArea dataOnly="0" labelOnly="1" fieldPosition="0">
        <references count="1">
          <reference field="7" count="49"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</reference>
        </references>
      </pivotArea>
    </format>
    <format dxfId="8">
      <pivotArea dataOnly="0" labelOnly="1" grandRow="1" outline="0" fieldPosition="0"/>
    </format>
    <format dxfId="7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CBAB62-006E-4DC2-BE1B-5D8A9DED8713}" name="PivotTable11" cacheId="7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109:B115" firstHeaderRow="1" firstDataRow="1" firstDataCol="1"/>
  <pivotFields count="11">
    <pivotField showAll="0">
      <items count="3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t="default"/>
      </items>
    </pivotField>
    <pivotField numFmtId="164" showAll="0"/>
    <pivotField showAll="0"/>
    <pivotField showAll="0"/>
    <pivotField axis="axisRow" showAll="0">
      <items count="6">
        <item x="2"/>
        <item x="1"/>
        <item x="3"/>
        <item x="0"/>
        <item x="4"/>
        <item t="default"/>
      </items>
    </pivotField>
    <pivotField showAll="0"/>
    <pivotField showAll="0"/>
    <pivotField dataField="1" showAll="0"/>
    <pivotField showAll="0"/>
    <pivotField showAll="0"/>
    <pivotField showAll="0" defaultSubtota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" fld="7" baseField="0" baseItem="0"/>
  </dataFields>
  <formats count="6">
    <format dxfId="24">
      <pivotArea type="all" dataOnly="0" outline="0" fieldPosition="0"/>
    </format>
    <format dxfId="23">
      <pivotArea outline="0" collapsedLevelsAreSubtotals="1" fieldPosition="0"/>
    </format>
    <format dxfId="22">
      <pivotArea field="4" type="button" dataOnly="0" labelOnly="1" outline="0" axis="axisRow" fieldPosition="0"/>
    </format>
    <format dxfId="21">
      <pivotArea dataOnly="0" labelOnly="1" fieldPosition="0">
        <references count="1">
          <reference field="4" count="0"/>
        </references>
      </pivotArea>
    </format>
    <format dxfId="20">
      <pivotArea dataOnly="0" labelOnly="1" grandRow="1" outline="0" fieldPosition="0"/>
    </format>
    <format dxfId="19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FD290E-6EE5-4D89-B543-4D49F0DFD3BC}" name="PivotTable9" cacheId="7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94:B105" firstHeaderRow="1" firstDataRow="1" firstDataCol="1"/>
  <pivotFields count="11">
    <pivotField showAll="0"/>
    <pivotField axis="axisRow" numFmtId="16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 defaultSubtotal="0">
      <items count="14">
        <item x="0"/>
        <item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x="12"/>
        <item x="13"/>
      </items>
    </pivotField>
  </pivotFields>
  <rowFields count="2">
    <field x="10"/>
    <field x="1"/>
  </rowFields>
  <rowItems count="11"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Revenue" fld="7" baseField="0" baseItem="0"/>
  </dataFields>
  <formats count="6">
    <format dxfId="31">
      <pivotArea type="all" dataOnly="0" outline="0" fieldPosition="0"/>
    </format>
    <format dxfId="30">
      <pivotArea outline="0" collapsedLevelsAreSubtotals="1" fieldPosition="0"/>
    </format>
    <format dxfId="29">
      <pivotArea field="10" type="button" dataOnly="0" labelOnly="1" outline="0" axis="axisRow" fieldPosition="0"/>
    </format>
    <format dxfId="28">
      <pivotArea dataOnly="0" labelOnly="1" fieldPosition="0">
        <references count="1">
          <reference field="10" count="10"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27">
      <pivotArea dataOnly="0" labelOnly="1" grandRow="1" outline="0" fieldPosition="0"/>
    </format>
    <format dxfId="2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06D643-A1BF-4954-AB86-57AC36B87C85}" name="PivotTable6" cacheId="7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2">
  <location ref="A74:B85" firstHeaderRow="1" firstDataRow="1" firstDataCol="1"/>
  <pivotFields count="11">
    <pivotField showAll="0"/>
    <pivotField axis="axisRow" numFmtId="167" showAll="0" defaultSubtotal="0">
      <items count="3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10"/>
    <field x="1"/>
  </rowFields>
  <rowItems count="11"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Revenue" fld="7" baseField="0" baseItem="0"/>
  </dataFields>
  <formats count="6">
    <format dxfId="0">
      <pivotArea type="all" dataOnly="0" outline="0" fieldPosition="0"/>
    </format>
    <format dxfId="1">
      <pivotArea outline="0" collapsedLevelsAreSubtotals="1" fieldPosition="0"/>
    </format>
    <format dxfId="2">
      <pivotArea field="10" type="button" dataOnly="0" labelOnly="1" outline="0" axis="axisRow" fieldPosition="0"/>
    </format>
    <format dxfId="3">
      <pivotArea dataOnly="0" labelOnly="1" fieldPosition="0">
        <references count="1">
          <reference field="10" count="10"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4">
      <pivotArea dataOnly="0" labelOnly="1" grandRow="1" outline="0" fieldPosition="0"/>
    </format>
    <format dxfId="5">
      <pivotArea dataOnly="0" labelOnly="1" outline="0" axis="axisValues" fieldPosition="0"/>
    </format>
  </format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F8296B-5B5B-4609-902B-02BA3EAA8415}" name="PivotTable5" cacheId="7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45:C70" firstHeaderRow="0" firstDataRow="1" firstDataCol="1"/>
  <pivotFields count="11">
    <pivotField showAll="0"/>
    <pivotField numFmtId="16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Row" showAll="0">
      <items count="5">
        <item x="3"/>
        <item x="1"/>
        <item x="2"/>
        <item x="0"/>
        <item t="default"/>
      </items>
    </pivotField>
    <pivotField axis="axisRow" showAll="0">
      <items count="6">
        <item x="4"/>
        <item x="0"/>
        <item x="3"/>
        <item x="2"/>
        <item x="1"/>
        <item t="default"/>
      </items>
    </pivotField>
    <pivotField showAll="0"/>
    <pivotField showAll="0"/>
    <pivotField showAll="0"/>
    <pivotField dataField="1"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2">
    <field x="2"/>
    <field x="3"/>
  </rowFields>
  <rowItems count="25">
    <i>
      <x/>
    </i>
    <i r="1">
      <x/>
    </i>
    <i r="1">
      <x v="1"/>
    </i>
    <i r="1">
      <x v="2"/>
    </i>
    <i r="1">
      <x v="3"/>
    </i>
    <i r="1">
      <x v="4"/>
    </i>
    <i>
      <x v="1"/>
    </i>
    <i r="1">
      <x/>
    </i>
    <i r="1">
      <x v="1"/>
    </i>
    <i r="1">
      <x v="2"/>
    </i>
    <i r="1">
      <x v="3"/>
    </i>
    <i r="1">
      <x v="4"/>
    </i>
    <i>
      <x v="2"/>
    </i>
    <i r="1">
      <x/>
    </i>
    <i r="1">
      <x v="1"/>
    </i>
    <i r="1">
      <x v="2"/>
    </i>
    <i r="1">
      <x v="3"/>
    </i>
    <i r="1">
      <x v="4"/>
    </i>
    <i>
      <x v="3"/>
    </i>
    <i r="1">
      <x/>
    </i>
    <i r="1">
      <x v="1"/>
    </i>
    <i r="1">
      <x v="2"/>
    </i>
    <i r="1">
      <x v="3"/>
    </i>
    <i r="1"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Net Profit" fld="9" baseField="0" baseItem="0"/>
    <dataField name="Sum of Revenue" fld="7" baseField="0" baseItem="0"/>
  </dataFields>
  <formats count="10">
    <format dxfId="149">
      <pivotArea type="all" dataOnly="0" outline="0" fieldPosition="0"/>
    </format>
    <format dxfId="138">
      <pivotArea outline="0" collapsedLevelsAreSubtotals="1" fieldPosition="0"/>
    </format>
    <format dxfId="137">
      <pivotArea field="2" type="button" dataOnly="0" labelOnly="1" outline="0" axis="axisRow" fieldPosition="0"/>
    </format>
    <format dxfId="136">
      <pivotArea dataOnly="0" labelOnly="1" fieldPosition="0">
        <references count="1">
          <reference field="2" count="0"/>
        </references>
      </pivotArea>
    </format>
    <format dxfId="135">
      <pivotArea dataOnly="0" labelOnly="1" grandRow="1" outline="0" fieldPosition="0"/>
    </format>
    <format dxfId="134">
      <pivotArea dataOnly="0" labelOnly="1" fieldPosition="0">
        <references count="2">
          <reference field="2" count="1" selected="0">
            <x v="0"/>
          </reference>
          <reference field="3" count="0"/>
        </references>
      </pivotArea>
    </format>
    <format dxfId="133">
      <pivotArea dataOnly="0" labelOnly="1" fieldPosition="0">
        <references count="2">
          <reference field="2" count="1" selected="0">
            <x v="1"/>
          </reference>
          <reference field="3" count="0"/>
        </references>
      </pivotArea>
    </format>
    <format dxfId="132">
      <pivotArea dataOnly="0" labelOnly="1" fieldPosition="0">
        <references count="2">
          <reference field="2" count="1" selected="0">
            <x v="2"/>
          </reference>
          <reference field="3" count="0"/>
        </references>
      </pivotArea>
    </format>
    <format dxfId="131">
      <pivotArea dataOnly="0" labelOnly="1" fieldPosition="0">
        <references count="2">
          <reference field="2" count="1" selected="0">
            <x v="3"/>
          </reference>
          <reference field="3" count="0"/>
        </references>
      </pivotArea>
    </format>
    <format dxfId="13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59883C-04EE-458B-A0F4-61A817750EEC}" name="PivotTable4" cacheId="7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5:B41" firstHeaderRow="1" firstDataRow="1" firstDataCol="1"/>
  <pivotFields count="11">
    <pivotField showAll="0"/>
    <pivotField numFmtId="16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axis="axisRow" showAll="0">
      <items count="6">
        <item x="4"/>
        <item x="0"/>
        <item x="3"/>
        <item x="2"/>
        <item x="1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" fld="7" baseField="0" baseItem="0"/>
  </dataFields>
  <formats count="6">
    <format dxfId="122">
      <pivotArea type="all" dataOnly="0" outline="0" fieldPosition="0"/>
    </format>
    <format dxfId="115">
      <pivotArea outline="0" collapsedLevelsAreSubtotals="1" fieldPosition="0"/>
    </format>
    <format dxfId="114">
      <pivotArea field="3" type="button" dataOnly="0" labelOnly="1" outline="0" axis="axisRow" fieldPosition="0"/>
    </format>
    <format dxfId="113">
      <pivotArea dataOnly="0" labelOnly="1" fieldPosition="0">
        <references count="1">
          <reference field="3" count="0"/>
        </references>
      </pivotArea>
    </format>
    <format dxfId="112">
      <pivotArea dataOnly="0" labelOnly="1" grandRow="1" outline="0" fieldPosition="0"/>
    </format>
    <format dxfId="11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7F5A80-6814-4CE5-A473-0F739A7EA81A}" name="PivotTable3" cacheId="7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25:B31" firstHeaderRow="1" firstDataRow="1" firstDataCol="1"/>
  <pivotFields count="11">
    <pivotField showAll="0"/>
    <pivotField numFmtId="16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axis="axisRow" showAll="0">
      <items count="6">
        <item x="2"/>
        <item x="1"/>
        <item x="3"/>
        <item x="0"/>
        <item x="4"/>
        <item t="default"/>
      </items>
    </pivotField>
    <pivotField showAll="0"/>
    <pivotField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Net Profit" fld="9" subtotal="average" baseField="4" baseItem="0"/>
  </dataFields>
  <formats count="6">
    <format dxfId="102">
      <pivotArea type="all" dataOnly="0" outline="0" fieldPosition="0"/>
    </format>
    <format dxfId="95">
      <pivotArea outline="0" collapsedLevelsAreSubtotals="1" fieldPosition="0"/>
    </format>
    <format dxfId="94">
      <pivotArea field="4" type="button" dataOnly="0" labelOnly="1" outline="0" axis="axisRow" fieldPosition="0"/>
    </format>
    <format dxfId="93">
      <pivotArea dataOnly="0" labelOnly="1" fieldPosition="0">
        <references count="1">
          <reference field="4" count="0"/>
        </references>
      </pivotArea>
    </format>
    <format dxfId="92">
      <pivotArea dataOnly="0" labelOnly="1" grandRow="1" outline="0" fieldPosition="0"/>
    </format>
    <format dxfId="9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B8B9DC-AF26-435F-AE9F-A608F0DD7D2C}" name="PivotTable2" cacheId="7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15:B21" firstHeaderRow="1" firstDataRow="1" firstDataCol="1"/>
  <pivotFields count="11">
    <pivotField showAll="0"/>
    <pivotField numFmtId="16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showAll="0"/>
    <pivotField axis="axisRow" showAll="0">
      <items count="6">
        <item x="3"/>
        <item x="2"/>
        <item x="0"/>
        <item x="1"/>
        <item x="4"/>
        <item t="default"/>
      </items>
    </pivotField>
    <pivotField dataField="1"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" fld="7" baseField="0" baseItem="0"/>
  </dataFields>
  <formats count="6">
    <format dxfId="82">
      <pivotArea type="all" dataOnly="0" outline="0" fieldPosition="0"/>
    </format>
    <format dxfId="75">
      <pivotArea outline="0" collapsedLevelsAreSubtotals="1" fieldPosition="0"/>
    </format>
    <format dxfId="74">
      <pivotArea field="6" type="button" dataOnly="0" labelOnly="1" outline="0" axis="axisRow" fieldPosition="0"/>
    </format>
    <format dxfId="73">
      <pivotArea dataOnly="0" labelOnly="1" fieldPosition="0">
        <references count="1">
          <reference field="6" count="0"/>
        </references>
      </pivotArea>
    </format>
    <format dxfId="72">
      <pivotArea dataOnly="0" labelOnly="1" grandRow="1" outline="0" fieldPosition="0"/>
    </format>
    <format dxfId="7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10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41FF5-BDEB-42EC-8DD8-B864F9BA34C3}">
  <dimension ref="A3:H419"/>
  <sheetViews>
    <sheetView tabSelected="1" topLeftCell="A93" workbookViewId="0">
      <selection activeCell="I101" sqref="I101"/>
    </sheetView>
  </sheetViews>
  <sheetFormatPr defaultRowHeight="15" x14ac:dyDescent="0.25"/>
  <cols>
    <col min="1" max="1" width="13.140625" bestFit="1" customWidth="1"/>
    <col min="2" max="2" width="15.5703125" bestFit="1" customWidth="1"/>
    <col min="3" max="3" width="16.42578125" bestFit="1" customWidth="1"/>
    <col min="4" max="4" width="13.140625" bestFit="1" customWidth="1"/>
    <col min="5" max="5" width="15.5703125" bestFit="1" customWidth="1"/>
  </cols>
  <sheetData>
    <row r="3" spans="1:6" x14ac:dyDescent="0.25">
      <c r="A3" s="37" t="s">
        <v>349</v>
      </c>
      <c r="B3" s="19"/>
      <c r="C3" s="19"/>
      <c r="D3" s="19"/>
      <c r="E3" s="19"/>
      <c r="F3" s="19"/>
    </row>
    <row r="5" spans="1:6" x14ac:dyDescent="0.25">
      <c r="A5" s="27" t="s">
        <v>350</v>
      </c>
      <c r="B5" s="28" t="s">
        <v>352</v>
      </c>
    </row>
    <row r="6" spans="1:6" x14ac:dyDescent="0.25">
      <c r="A6" s="29" t="s">
        <v>23</v>
      </c>
      <c r="B6" s="30">
        <v>63</v>
      </c>
    </row>
    <row r="7" spans="1:6" x14ac:dyDescent="0.25">
      <c r="A7" s="29" t="s">
        <v>18</v>
      </c>
      <c r="B7" s="30">
        <v>61</v>
      </c>
    </row>
    <row r="8" spans="1:6" x14ac:dyDescent="0.25">
      <c r="A8" s="29" t="s">
        <v>29</v>
      </c>
      <c r="B8" s="30">
        <v>60</v>
      </c>
    </row>
    <row r="9" spans="1:6" x14ac:dyDescent="0.25">
      <c r="A9" s="29" t="s">
        <v>13</v>
      </c>
      <c r="B9" s="30">
        <v>60</v>
      </c>
    </row>
    <row r="10" spans="1:6" x14ac:dyDescent="0.25">
      <c r="A10" s="29" t="s">
        <v>38</v>
      </c>
      <c r="B10" s="30">
        <v>56</v>
      </c>
    </row>
    <row r="11" spans="1:6" x14ac:dyDescent="0.25">
      <c r="A11" s="31" t="s">
        <v>351</v>
      </c>
      <c r="B11" s="32">
        <v>300</v>
      </c>
    </row>
    <row r="13" spans="1:6" x14ac:dyDescent="0.25">
      <c r="A13" s="37" t="s">
        <v>353</v>
      </c>
      <c r="B13" s="19"/>
      <c r="C13" s="19"/>
      <c r="D13" s="19"/>
      <c r="E13" s="19"/>
    </row>
    <row r="15" spans="1:6" x14ac:dyDescent="0.25">
      <c r="A15" s="27" t="s">
        <v>350</v>
      </c>
      <c r="B15" s="28" t="s">
        <v>354</v>
      </c>
    </row>
    <row r="16" spans="1:6" x14ac:dyDescent="0.25">
      <c r="A16" s="29" t="s">
        <v>33</v>
      </c>
      <c r="B16" s="30">
        <v>151257.36000000002</v>
      </c>
    </row>
    <row r="17" spans="1:6" x14ac:dyDescent="0.25">
      <c r="A17" s="29" t="s">
        <v>25</v>
      </c>
      <c r="B17" s="30">
        <v>142066.13</v>
      </c>
    </row>
    <row r="18" spans="1:6" x14ac:dyDescent="0.25">
      <c r="A18" s="29" t="s">
        <v>15</v>
      </c>
      <c r="B18" s="30">
        <v>202402.12000000005</v>
      </c>
    </row>
    <row r="19" spans="1:6" x14ac:dyDescent="0.25">
      <c r="A19" s="29" t="s">
        <v>20</v>
      </c>
      <c r="B19" s="30">
        <v>132712.01</v>
      </c>
    </row>
    <row r="20" spans="1:6" x14ac:dyDescent="0.25">
      <c r="A20" s="29" t="s">
        <v>35</v>
      </c>
      <c r="B20" s="30">
        <v>132121.78999999998</v>
      </c>
    </row>
    <row r="21" spans="1:6" x14ac:dyDescent="0.25">
      <c r="A21" s="31" t="s">
        <v>351</v>
      </c>
      <c r="B21" s="32">
        <v>760559.41000000015</v>
      </c>
    </row>
    <row r="23" spans="1:6" x14ac:dyDescent="0.25">
      <c r="A23" s="37" t="s">
        <v>357</v>
      </c>
      <c r="B23" s="19"/>
      <c r="C23" s="19"/>
      <c r="D23" s="19"/>
      <c r="E23" s="19"/>
      <c r="F23" s="19"/>
    </row>
    <row r="25" spans="1:6" x14ac:dyDescent="0.25">
      <c r="A25" s="27" t="s">
        <v>350</v>
      </c>
      <c r="B25" s="28" t="s">
        <v>356</v>
      </c>
    </row>
    <row r="26" spans="1:6" x14ac:dyDescent="0.25">
      <c r="A26" s="29" t="s">
        <v>23</v>
      </c>
      <c r="B26" s="30">
        <v>673.05968253968274</v>
      </c>
    </row>
    <row r="27" spans="1:6" x14ac:dyDescent="0.25">
      <c r="A27" s="29" t="s">
        <v>18</v>
      </c>
      <c r="B27" s="30">
        <v>620.27737704918013</v>
      </c>
    </row>
    <row r="28" spans="1:6" x14ac:dyDescent="0.25">
      <c r="A28" s="29" t="s">
        <v>29</v>
      </c>
      <c r="B28" s="30">
        <v>526.05133333333322</v>
      </c>
    </row>
    <row r="29" spans="1:6" x14ac:dyDescent="0.25">
      <c r="A29" s="29" t="s">
        <v>13</v>
      </c>
      <c r="B29" s="30">
        <v>532.88583333333327</v>
      </c>
    </row>
    <row r="30" spans="1:6" x14ac:dyDescent="0.25">
      <c r="A30" s="29" t="s">
        <v>38</v>
      </c>
      <c r="B30" s="30">
        <v>519.93160714285716</v>
      </c>
    </row>
    <row r="31" spans="1:6" x14ac:dyDescent="0.25">
      <c r="A31" s="31" t="s">
        <v>351</v>
      </c>
      <c r="B31" s="32">
        <v>576.30693333333375</v>
      </c>
    </row>
    <row r="33" spans="1:8" x14ac:dyDescent="0.25">
      <c r="A33" s="37" t="s">
        <v>358</v>
      </c>
      <c r="B33" s="19"/>
      <c r="C33" s="19"/>
      <c r="D33" s="19"/>
    </row>
    <row r="35" spans="1:8" x14ac:dyDescent="0.25">
      <c r="A35" s="27" t="s">
        <v>350</v>
      </c>
      <c r="B35" s="28" t="s">
        <v>354</v>
      </c>
    </row>
    <row r="36" spans="1:8" x14ac:dyDescent="0.25">
      <c r="A36" s="29" t="s">
        <v>47</v>
      </c>
      <c r="B36" s="30">
        <v>155034.01</v>
      </c>
    </row>
    <row r="37" spans="1:8" x14ac:dyDescent="0.25">
      <c r="A37" s="29" t="s">
        <v>12</v>
      </c>
      <c r="B37" s="30">
        <v>115704.62</v>
      </c>
      <c r="D37" s="21">
        <f>MAX(B36:B40)</f>
        <v>176794.25</v>
      </c>
      <c r="E37" s="22" t="s">
        <v>31</v>
      </c>
    </row>
    <row r="38" spans="1:8" x14ac:dyDescent="0.25">
      <c r="A38" s="29" t="s">
        <v>31</v>
      </c>
      <c r="B38" s="30">
        <v>176794.25</v>
      </c>
    </row>
    <row r="39" spans="1:8" x14ac:dyDescent="0.25">
      <c r="A39" s="29" t="s">
        <v>28</v>
      </c>
      <c r="B39" s="30">
        <v>144615.82999999996</v>
      </c>
    </row>
    <row r="40" spans="1:8" x14ac:dyDescent="0.25">
      <c r="A40" s="29" t="s">
        <v>22</v>
      </c>
      <c r="B40" s="30">
        <v>168410.69999999998</v>
      </c>
    </row>
    <row r="41" spans="1:8" x14ac:dyDescent="0.25">
      <c r="A41" s="31" t="s">
        <v>351</v>
      </c>
      <c r="B41" s="32">
        <v>760559.40999999992</v>
      </c>
    </row>
    <row r="43" spans="1:8" x14ac:dyDescent="0.25">
      <c r="A43" s="37" t="s">
        <v>359</v>
      </c>
      <c r="B43" s="19"/>
      <c r="C43" s="19"/>
      <c r="D43" s="19"/>
      <c r="E43" s="19"/>
      <c r="F43" s="19"/>
      <c r="G43" s="19"/>
      <c r="H43" s="19"/>
    </row>
    <row r="45" spans="1:8" x14ac:dyDescent="0.25">
      <c r="A45" s="27" t="s">
        <v>350</v>
      </c>
      <c r="B45" s="34" t="s">
        <v>355</v>
      </c>
      <c r="C45" s="28" t="s">
        <v>354</v>
      </c>
    </row>
    <row r="46" spans="1:8" x14ac:dyDescent="0.25">
      <c r="A46" s="29" t="s">
        <v>40</v>
      </c>
      <c r="B46" s="33">
        <v>51255.68</v>
      </c>
      <c r="C46" s="30">
        <v>214700.04000000004</v>
      </c>
    </row>
    <row r="47" spans="1:8" x14ac:dyDescent="0.25">
      <c r="A47" s="35" t="s">
        <v>47</v>
      </c>
      <c r="B47" s="33">
        <v>13870.89</v>
      </c>
      <c r="C47" s="30">
        <v>51862.200000000004</v>
      </c>
    </row>
    <row r="48" spans="1:8" x14ac:dyDescent="0.25">
      <c r="A48" s="35" t="s">
        <v>12</v>
      </c>
      <c r="B48" s="33">
        <v>8227.69</v>
      </c>
      <c r="C48" s="30">
        <v>38496.170000000006</v>
      </c>
    </row>
    <row r="49" spans="1:3" x14ac:dyDescent="0.25">
      <c r="A49" s="35" t="s">
        <v>31</v>
      </c>
      <c r="B49" s="33">
        <v>8208.7199999999993</v>
      </c>
      <c r="C49" s="30">
        <v>34154.049999999996</v>
      </c>
    </row>
    <row r="50" spans="1:3" x14ac:dyDescent="0.25">
      <c r="A50" s="35" t="s">
        <v>28</v>
      </c>
      <c r="B50" s="33">
        <v>6917.0199999999995</v>
      </c>
      <c r="C50" s="30">
        <v>33505.760000000002</v>
      </c>
    </row>
    <row r="51" spans="1:3" x14ac:dyDescent="0.25">
      <c r="A51" s="35" t="s">
        <v>22</v>
      </c>
      <c r="B51" s="33">
        <v>14031.360000000002</v>
      </c>
      <c r="C51" s="30">
        <v>56681.86</v>
      </c>
    </row>
    <row r="52" spans="1:3" x14ac:dyDescent="0.25">
      <c r="A52" s="29" t="s">
        <v>17</v>
      </c>
      <c r="B52" s="33">
        <v>34566.82</v>
      </c>
      <c r="C52" s="30">
        <v>174530.96999999997</v>
      </c>
    </row>
    <row r="53" spans="1:3" x14ac:dyDescent="0.25">
      <c r="A53" s="35" t="s">
        <v>47</v>
      </c>
      <c r="B53" s="33">
        <v>9715.9500000000007</v>
      </c>
      <c r="C53" s="30">
        <v>46492.05999999999</v>
      </c>
    </row>
    <row r="54" spans="1:3" x14ac:dyDescent="0.25">
      <c r="A54" s="35" t="s">
        <v>12</v>
      </c>
      <c r="B54" s="33">
        <v>5695.5800000000008</v>
      </c>
      <c r="C54" s="30">
        <v>31003.370000000003</v>
      </c>
    </row>
    <row r="55" spans="1:3" x14ac:dyDescent="0.25">
      <c r="A55" s="35" t="s">
        <v>31</v>
      </c>
      <c r="B55" s="33">
        <v>7767.2900000000009</v>
      </c>
      <c r="C55" s="30">
        <v>39309.19999999999</v>
      </c>
    </row>
    <row r="56" spans="1:3" x14ac:dyDescent="0.25">
      <c r="A56" s="35" t="s">
        <v>28</v>
      </c>
      <c r="B56" s="33">
        <v>6697.6699999999992</v>
      </c>
      <c r="C56" s="30">
        <v>22807.099999999991</v>
      </c>
    </row>
    <row r="57" spans="1:3" x14ac:dyDescent="0.25">
      <c r="A57" s="35" t="s">
        <v>22</v>
      </c>
      <c r="B57" s="33">
        <v>4690.33</v>
      </c>
      <c r="C57" s="30">
        <v>34919.24</v>
      </c>
    </row>
    <row r="58" spans="1:3" x14ac:dyDescent="0.25">
      <c r="A58" s="29" t="s">
        <v>27</v>
      </c>
      <c r="B58" s="33">
        <v>42400.41</v>
      </c>
      <c r="C58" s="30">
        <v>181531.16999999998</v>
      </c>
    </row>
    <row r="59" spans="1:3" x14ac:dyDescent="0.25">
      <c r="A59" s="35" t="s">
        <v>47</v>
      </c>
      <c r="B59" s="33">
        <v>8942.8700000000008</v>
      </c>
      <c r="C59" s="30">
        <v>30185.979999999996</v>
      </c>
    </row>
    <row r="60" spans="1:3" x14ac:dyDescent="0.25">
      <c r="A60" s="35" t="s">
        <v>12</v>
      </c>
      <c r="B60" s="33">
        <v>8017.2300000000014</v>
      </c>
      <c r="C60" s="30">
        <v>23885.979999999996</v>
      </c>
    </row>
    <row r="61" spans="1:3" x14ac:dyDescent="0.25">
      <c r="A61" s="35" t="s">
        <v>31</v>
      </c>
      <c r="B61" s="33">
        <v>9040.7599999999984</v>
      </c>
      <c r="C61" s="30">
        <v>49136.920000000006</v>
      </c>
    </row>
    <row r="62" spans="1:3" x14ac:dyDescent="0.25">
      <c r="A62" s="35" t="s">
        <v>28</v>
      </c>
      <c r="B62" s="33">
        <v>11540.55</v>
      </c>
      <c r="C62" s="30">
        <v>44487.96</v>
      </c>
    </row>
    <row r="63" spans="1:3" x14ac:dyDescent="0.25">
      <c r="A63" s="35" t="s">
        <v>22</v>
      </c>
      <c r="B63" s="33">
        <v>4859</v>
      </c>
      <c r="C63" s="30">
        <v>33834.33</v>
      </c>
    </row>
    <row r="64" spans="1:3" x14ac:dyDescent="0.25">
      <c r="A64" s="29" t="s">
        <v>11</v>
      </c>
      <c r="B64" s="33">
        <v>44669.17</v>
      </c>
      <c r="C64" s="30">
        <v>189797.22999999998</v>
      </c>
    </row>
    <row r="65" spans="1:4" x14ac:dyDescent="0.25">
      <c r="A65" s="35" t="s">
        <v>47</v>
      </c>
      <c r="B65" s="33">
        <v>7070.49</v>
      </c>
      <c r="C65" s="30">
        <v>26493.77</v>
      </c>
    </row>
    <row r="66" spans="1:4" x14ac:dyDescent="0.25">
      <c r="A66" s="35" t="s">
        <v>12</v>
      </c>
      <c r="B66" s="33">
        <v>9892.2999999999993</v>
      </c>
      <c r="C66" s="30">
        <v>22319.100000000002</v>
      </c>
    </row>
    <row r="67" spans="1:4" x14ac:dyDescent="0.25">
      <c r="A67" s="35" t="s">
        <v>31</v>
      </c>
      <c r="B67" s="33">
        <v>10281.640000000001</v>
      </c>
      <c r="C67" s="30">
        <v>54194.079999999994</v>
      </c>
    </row>
    <row r="68" spans="1:4" x14ac:dyDescent="0.25">
      <c r="A68" s="35" t="s">
        <v>28</v>
      </c>
      <c r="B68" s="33">
        <v>7649.41</v>
      </c>
      <c r="C68" s="30">
        <v>43815.009999999995</v>
      </c>
    </row>
    <row r="69" spans="1:4" x14ac:dyDescent="0.25">
      <c r="A69" s="35" t="s">
        <v>22</v>
      </c>
      <c r="B69" s="33">
        <v>9775.33</v>
      </c>
      <c r="C69" s="30">
        <v>42975.27</v>
      </c>
    </row>
    <row r="70" spans="1:4" x14ac:dyDescent="0.25">
      <c r="A70" s="31" t="s">
        <v>351</v>
      </c>
      <c r="B70" s="36">
        <v>172892.08</v>
      </c>
      <c r="C70" s="32">
        <v>760559.40999999992</v>
      </c>
    </row>
    <row r="72" spans="1:4" x14ac:dyDescent="0.25">
      <c r="A72" s="37" t="s">
        <v>360</v>
      </c>
      <c r="B72" s="19"/>
      <c r="C72" s="19"/>
      <c r="D72" s="19"/>
    </row>
    <row r="74" spans="1:4" x14ac:dyDescent="0.25">
      <c r="A74" s="27" t="s">
        <v>350</v>
      </c>
      <c r="B74" s="28" t="s">
        <v>354</v>
      </c>
    </row>
    <row r="75" spans="1:4" x14ac:dyDescent="0.25">
      <c r="A75" s="29" t="s">
        <v>361</v>
      </c>
      <c r="B75" s="30">
        <v>65240.990000000005</v>
      </c>
    </row>
    <row r="76" spans="1:4" x14ac:dyDescent="0.25">
      <c r="A76" s="29" t="s">
        <v>362</v>
      </c>
      <c r="B76" s="30">
        <v>82901.179999999993</v>
      </c>
    </row>
    <row r="77" spans="1:4" x14ac:dyDescent="0.25">
      <c r="A77" s="29" t="s">
        <v>363</v>
      </c>
      <c r="B77" s="30">
        <v>67789.929999999993</v>
      </c>
    </row>
    <row r="78" spans="1:4" x14ac:dyDescent="0.25">
      <c r="A78" s="29" t="s">
        <v>364</v>
      </c>
      <c r="B78" s="30">
        <v>80403.529999999984</v>
      </c>
    </row>
    <row r="79" spans="1:4" x14ac:dyDescent="0.25">
      <c r="A79" s="29" t="s">
        <v>365</v>
      </c>
      <c r="B79" s="30">
        <v>85079.689999999988</v>
      </c>
    </row>
    <row r="80" spans="1:4" x14ac:dyDescent="0.25">
      <c r="A80" s="29" t="s">
        <v>366</v>
      </c>
      <c r="B80" s="30">
        <v>85945.2</v>
      </c>
    </row>
    <row r="81" spans="1:5" x14ac:dyDescent="0.25">
      <c r="A81" s="29" t="s">
        <v>367</v>
      </c>
      <c r="B81" s="30">
        <v>76289.790000000008</v>
      </c>
    </row>
    <row r="82" spans="1:5" x14ac:dyDescent="0.25">
      <c r="A82" s="29" t="s">
        <v>368</v>
      </c>
      <c r="B82" s="30">
        <v>75786.850000000006</v>
      </c>
    </row>
    <row r="83" spans="1:5" x14ac:dyDescent="0.25">
      <c r="A83" s="29" t="s">
        <v>369</v>
      </c>
      <c r="B83" s="30">
        <v>79579.150000000009</v>
      </c>
    </row>
    <row r="84" spans="1:5" x14ac:dyDescent="0.25">
      <c r="A84" s="29" t="s">
        <v>370</v>
      </c>
      <c r="B84" s="30">
        <v>61543.1</v>
      </c>
    </row>
    <row r="85" spans="1:5" x14ac:dyDescent="0.25">
      <c r="A85" s="31" t="s">
        <v>351</v>
      </c>
      <c r="B85" s="32">
        <v>760559.40999999992</v>
      </c>
    </row>
    <row r="92" spans="1:5" x14ac:dyDescent="0.25">
      <c r="A92" s="37" t="s">
        <v>371</v>
      </c>
      <c r="B92" s="19"/>
      <c r="C92" s="19"/>
      <c r="D92" s="19"/>
      <c r="E92" s="19"/>
    </row>
    <row r="94" spans="1:5" x14ac:dyDescent="0.25">
      <c r="A94" s="27" t="s">
        <v>350</v>
      </c>
      <c r="B94" s="28" t="s">
        <v>354</v>
      </c>
    </row>
    <row r="95" spans="1:5" x14ac:dyDescent="0.25">
      <c r="A95" s="29" t="s">
        <v>361</v>
      </c>
      <c r="B95" s="30">
        <v>65240.990000000005</v>
      </c>
    </row>
    <row r="96" spans="1:5" x14ac:dyDescent="0.25">
      <c r="A96" s="29" t="s">
        <v>362</v>
      </c>
      <c r="B96" s="30">
        <v>82901.179999999993</v>
      </c>
    </row>
    <row r="97" spans="1:5" x14ac:dyDescent="0.25">
      <c r="A97" s="29" t="s">
        <v>363</v>
      </c>
      <c r="B97" s="30">
        <v>67789.929999999993</v>
      </c>
      <c r="D97" s="21">
        <f>MAX(A95:B104)</f>
        <v>85945.2</v>
      </c>
      <c r="E97" s="22" t="s">
        <v>372</v>
      </c>
    </row>
    <row r="98" spans="1:5" x14ac:dyDescent="0.25">
      <c r="A98" s="29" t="s">
        <v>364</v>
      </c>
      <c r="B98" s="30">
        <v>80403.529999999984</v>
      </c>
    </row>
    <row r="99" spans="1:5" x14ac:dyDescent="0.25">
      <c r="A99" s="29" t="s">
        <v>365</v>
      </c>
      <c r="B99" s="30">
        <v>85079.689999999988</v>
      </c>
    </row>
    <row r="100" spans="1:5" x14ac:dyDescent="0.25">
      <c r="A100" s="29" t="s">
        <v>366</v>
      </c>
      <c r="B100" s="30">
        <v>85945.2</v>
      </c>
    </row>
    <row r="101" spans="1:5" x14ac:dyDescent="0.25">
      <c r="A101" s="29" t="s">
        <v>367</v>
      </c>
      <c r="B101" s="30">
        <v>76289.790000000008</v>
      </c>
    </row>
    <row r="102" spans="1:5" x14ac:dyDescent="0.25">
      <c r="A102" s="29" t="s">
        <v>368</v>
      </c>
      <c r="B102" s="30">
        <v>75786.850000000006</v>
      </c>
    </row>
    <row r="103" spans="1:5" x14ac:dyDescent="0.25">
      <c r="A103" s="29" t="s">
        <v>369</v>
      </c>
      <c r="B103" s="30">
        <v>79579.150000000009</v>
      </c>
    </row>
    <row r="104" spans="1:5" x14ac:dyDescent="0.25">
      <c r="A104" s="29" t="s">
        <v>370</v>
      </c>
      <c r="B104" s="30">
        <v>61543.1</v>
      </c>
    </row>
    <row r="105" spans="1:5" x14ac:dyDescent="0.25">
      <c r="A105" s="31" t="s">
        <v>351</v>
      </c>
      <c r="B105" s="32">
        <v>760559.40999999992</v>
      </c>
    </row>
    <row r="107" spans="1:5" x14ac:dyDescent="0.25">
      <c r="A107" s="37" t="s">
        <v>373</v>
      </c>
      <c r="B107" s="19"/>
      <c r="C107" s="19"/>
      <c r="D107" s="19"/>
      <c r="E107" s="19"/>
    </row>
    <row r="109" spans="1:5" x14ac:dyDescent="0.25">
      <c r="A109" s="27" t="s">
        <v>350</v>
      </c>
      <c r="B109" s="28" t="s">
        <v>354</v>
      </c>
    </row>
    <row r="110" spans="1:5" x14ac:dyDescent="0.25">
      <c r="A110" s="29" t="s">
        <v>23</v>
      </c>
      <c r="B110" s="30">
        <v>148327.36999999997</v>
      </c>
    </row>
    <row r="111" spans="1:5" x14ac:dyDescent="0.25">
      <c r="A111" s="29" t="s">
        <v>18</v>
      </c>
      <c r="B111" s="30">
        <v>162149.18000000002</v>
      </c>
      <c r="D111" s="21">
        <f>MAX(A110:B114)</f>
        <v>162149.18000000002</v>
      </c>
      <c r="E111" s="22" t="s">
        <v>18</v>
      </c>
    </row>
    <row r="112" spans="1:5" x14ac:dyDescent="0.25">
      <c r="A112" s="29" t="s">
        <v>29</v>
      </c>
      <c r="B112" s="30">
        <v>153641.60000000003</v>
      </c>
    </row>
    <row r="113" spans="1:8" x14ac:dyDescent="0.25">
      <c r="A113" s="29" t="s">
        <v>13</v>
      </c>
      <c r="B113" s="30">
        <v>155835.01</v>
      </c>
    </row>
    <row r="114" spans="1:8" x14ac:dyDescent="0.25">
      <c r="A114" s="29" t="s">
        <v>38</v>
      </c>
      <c r="B114" s="30">
        <v>140606.25</v>
      </c>
    </row>
    <row r="115" spans="1:8" x14ac:dyDescent="0.25">
      <c r="A115" s="31" t="s">
        <v>351</v>
      </c>
      <c r="B115" s="32">
        <v>760559.41</v>
      </c>
    </row>
    <row r="117" spans="1:8" x14ac:dyDescent="0.25">
      <c r="A117" s="37" t="s">
        <v>374</v>
      </c>
      <c r="B117" s="19"/>
      <c r="C117" s="19"/>
      <c r="D117" s="19"/>
      <c r="E117" s="19"/>
      <c r="F117" s="19"/>
      <c r="G117" s="19"/>
    </row>
    <row r="119" spans="1:8" x14ac:dyDescent="0.25">
      <c r="A119" s="27" t="s">
        <v>350</v>
      </c>
      <c r="B119" s="28" t="s">
        <v>355</v>
      </c>
      <c r="D119" s="26" t="s">
        <v>350</v>
      </c>
      <c r="E119" s="17" t="s">
        <v>355</v>
      </c>
    </row>
    <row r="120" spans="1:8" x14ac:dyDescent="0.25">
      <c r="A120" s="29">
        <v>103.39</v>
      </c>
      <c r="B120" s="30">
        <v>991.59</v>
      </c>
      <c r="D120" s="15">
        <v>103.39</v>
      </c>
      <c r="E120" s="16">
        <v>991.59</v>
      </c>
    </row>
    <row r="121" spans="1:8" x14ac:dyDescent="0.25">
      <c r="A121" s="29">
        <v>108.37</v>
      </c>
      <c r="B121" s="30">
        <v>1181.92</v>
      </c>
      <c r="D121" s="15">
        <v>108.37</v>
      </c>
      <c r="E121" s="16">
        <v>1181.92</v>
      </c>
    </row>
    <row r="122" spans="1:8" x14ac:dyDescent="0.25">
      <c r="A122" s="29">
        <v>116.53</v>
      </c>
      <c r="B122" s="30">
        <v>-4.55</v>
      </c>
      <c r="D122" s="15">
        <v>116.53</v>
      </c>
      <c r="E122" s="16">
        <v>-4.55</v>
      </c>
      <c r="H122" s="20"/>
    </row>
    <row r="123" spans="1:8" x14ac:dyDescent="0.25">
      <c r="A123" s="29">
        <v>150.03</v>
      </c>
      <c r="B123" s="30">
        <v>646.44000000000005</v>
      </c>
      <c r="D123" s="15">
        <v>150.03</v>
      </c>
      <c r="E123" s="16">
        <v>646.44000000000005</v>
      </c>
    </row>
    <row r="124" spans="1:8" x14ac:dyDescent="0.25">
      <c r="A124" s="29">
        <v>244.07</v>
      </c>
      <c r="B124" s="30">
        <v>196.13</v>
      </c>
      <c r="D124" s="15">
        <v>244.07</v>
      </c>
      <c r="E124" s="16">
        <v>196.13</v>
      </c>
    </row>
    <row r="125" spans="1:8" x14ac:dyDescent="0.25">
      <c r="A125" s="29">
        <v>259.95</v>
      </c>
      <c r="B125" s="30">
        <v>1225.1400000000001</v>
      </c>
      <c r="D125" s="15">
        <v>259.95</v>
      </c>
      <c r="E125" s="16">
        <v>1225.1400000000001</v>
      </c>
    </row>
    <row r="126" spans="1:8" x14ac:dyDescent="0.25">
      <c r="A126" s="29">
        <v>289.37</v>
      </c>
      <c r="B126" s="30">
        <v>-38.93</v>
      </c>
      <c r="D126" s="15">
        <v>289.37</v>
      </c>
      <c r="E126" s="16">
        <v>-38.93</v>
      </c>
    </row>
    <row r="127" spans="1:8" x14ac:dyDescent="0.25">
      <c r="A127" s="29">
        <v>318.27999999999997</v>
      </c>
      <c r="B127" s="30">
        <v>-171.29</v>
      </c>
      <c r="D127" s="15">
        <v>318.27999999999997</v>
      </c>
      <c r="E127" s="16">
        <v>-171.29</v>
      </c>
    </row>
    <row r="128" spans="1:8" x14ac:dyDescent="0.25">
      <c r="A128" s="29">
        <v>319.7</v>
      </c>
      <c r="B128" s="30">
        <v>-204.43</v>
      </c>
      <c r="D128" s="15">
        <v>319.7</v>
      </c>
      <c r="E128" s="16">
        <v>-204.43</v>
      </c>
    </row>
    <row r="129" spans="1:5" x14ac:dyDescent="0.25">
      <c r="A129" s="29">
        <v>323.92</v>
      </c>
      <c r="B129" s="30">
        <v>162.68</v>
      </c>
      <c r="D129" s="15">
        <v>323.92</v>
      </c>
      <c r="E129" s="16">
        <v>162.68</v>
      </c>
    </row>
    <row r="130" spans="1:5" x14ac:dyDescent="0.25">
      <c r="A130" s="29">
        <v>335.44</v>
      </c>
      <c r="B130" s="30">
        <v>740.49</v>
      </c>
      <c r="D130" s="15">
        <v>335.44</v>
      </c>
      <c r="E130" s="16">
        <v>740.49</v>
      </c>
    </row>
    <row r="131" spans="1:5" x14ac:dyDescent="0.25">
      <c r="A131" s="29">
        <v>352.28</v>
      </c>
      <c r="B131" s="30">
        <v>118.77</v>
      </c>
      <c r="D131" s="15">
        <v>352.28</v>
      </c>
      <c r="E131" s="16">
        <v>118.77</v>
      </c>
    </row>
    <row r="132" spans="1:5" x14ac:dyDescent="0.25">
      <c r="A132" s="29">
        <v>360.95</v>
      </c>
      <c r="B132" s="30">
        <v>1216.74</v>
      </c>
      <c r="D132" s="15">
        <v>360.95</v>
      </c>
      <c r="E132" s="16">
        <v>1216.74</v>
      </c>
    </row>
    <row r="133" spans="1:5" x14ac:dyDescent="0.25">
      <c r="A133" s="29">
        <v>380</v>
      </c>
      <c r="B133" s="30">
        <v>169.77</v>
      </c>
      <c r="D133" s="15">
        <v>380</v>
      </c>
      <c r="E133" s="16">
        <v>169.77</v>
      </c>
    </row>
    <row r="134" spans="1:5" x14ac:dyDescent="0.25">
      <c r="A134" s="29">
        <v>382.77</v>
      </c>
      <c r="B134" s="30">
        <v>454.86</v>
      </c>
      <c r="D134" s="15">
        <v>382.77</v>
      </c>
      <c r="E134" s="16">
        <v>454.86</v>
      </c>
    </row>
    <row r="135" spans="1:5" x14ac:dyDescent="0.25">
      <c r="A135" s="29">
        <v>385.54</v>
      </c>
      <c r="B135" s="30">
        <v>1209</v>
      </c>
      <c r="D135" s="15">
        <v>385.54</v>
      </c>
      <c r="E135" s="16">
        <v>1209</v>
      </c>
    </row>
    <row r="136" spans="1:5" x14ac:dyDescent="0.25">
      <c r="A136" s="29">
        <v>390.08</v>
      </c>
      <c r="B136" s="30">
        <v>569.03</v>
      </c>
      <c r="D136" s="15">
        <v>390.08</v>
      </c>
      <c r="E136" s="16">
        <v>569.03</v>
      </c>
    </row>
    <row r="137" spans="1:5" x14ac:dyDescent="0.25">
      <c r="A137" s="29">
        <v>403.47</v>
      </c>
      <c r="B137" s="30">
        <v>720.93</v>
      </c>
      <c r="D137" s="15">
        <v>403.47</v>
      </c>
      <c r="E137" s="16">
        <v>720.93</v>
      </c>
    </row>
    <row r="138" spans="1:5" x14ac:dyDescent="0.25">
      <c r="A138" s="29">
        <v>408.75</v>
      </c>
      <c r="B138" s="30">
        <v>147.11000000000001</v>
      </c>
      <c r="D138" s="15">
        <v>408.75</v>
      </c>
      <c r="E138" s="16">
        <v>147.11000000000001</v>
      </c>
    </row>
    <row r="139" spans="1:5" x14ac:dyDescent="0.25">
      <c r="A139" s="29">
        <v>419.67</v>
      </c>
      <c r="B139" s="30">
        <v>1330.95</v>
      </c>
      <c r="D139" s="15">
        <v>419.67</v>
      </c>
      <c r="E139" s="16">
        <v>1330.95</v>
      </c>
    </row>
    <row r="140" spans="1:5" x14ac:dyDescent="0.25">
      <c r="A140" s="29">
        <v>421.36</v>
      </c>
      <c r="B140" s="30">
        <v>-187.08</v>
      </c>
      <c r="D140" s="15">
        <v>421.36</v>
      </c>
      <c r="E140" s="16">
        <v>-187.08</v>
      </c>
    </row>
    <row r="141" spans="1:5" x14ac:dyDescent="0.25">
      <c r="A141" s="29">
        <v>446.58</v>
      </c>
      <c r="B141" s="30">
        <v>371.6</v>
      </c>
      <c r="D141" s="15">
        <v>446.58</v>
      </c>
      <c r="E141" s="16">
        <v>371.6</v>
      </c>
    </row>
    <row r="142" spans="1:5" x14ac:dyDescent="0.25">
      <c r="A142" s="29">
        <v>473.36</v>
      </c>
      <c r="B142" s="30">
        <v>-257.79000000000002</v>
      </c>
      <c r="D142" s="15">
        <v>473.36</v>
      </c>
      <c r="E142" s="16">
        <v>-257.79000000000002</v>
      </c>
    </row>
    <row r="143" spans="1:5" x14ac:dyDescent="0.25">
      <c r="A143" s="29">
        <v>496.56</v>
      </c>
      <c r="B143" s="30">
        <v>1125.8</v>
      </c>
      <c r="D143" s="15">
        <v>496.56</v>
      </c>
      <c r="E143" s="16">
        <v>1125.8</v>
      </c>
    </row>
    <row r="144" spans="1:5" x14ac:dyDescent="0.25">
      <c r="A144" s="29">
        <v>507.03</v>
      </c>
      <c r="B144" s="30">
        <v>-2.96</v>
      </c>
      <c r="D144" s="15">
        <v>507.03</v>
      </c>
      <c r="E144" s="16">
        <v>-2.96</v>
      </c>
    </row>
    <row r="145" spans="1:5" x14ac:dyDescent="0.25">
      <c r="A145" s="29">
        <v>593.27</v>
      </c>
      <c r="B145" s="30">
        <v>1150.48</v>
      </c>
      <c r="D145" s="15">
        <v>593.27</v>
      </c>
      <c r="E145" s="16">
        <v>1150.48</v>
      </c>
    </row>
    <row r="146" spans="1:5" x14ac:dyDescent="0.25">
      <c r="A146" s="29">
        <v>615.94000000000005</v>
      </c>
      <c r="B146" s="30">
        <v>225.04</v>
      </c>
      <c r="D146" s="15">
        <v>615.94000000000005</v>
      </c>
      <c r="E146" s="16">
        <v>225.04</v>
      </c>
    </row>
    <row r="147" spans="1:5" x14ac:dyDescent="0.25">
      <c r="A147" s="29">
        <v>670.12</v>
      </c>
      <c r="B147" s="30">
        <v>-108.02</v>
      </c>
      <c r="D147" s="15">
        <v>670.12</v>
      </c>
      <c r="E147" s="16">
        <v>-108.02</v>
      </c>
    </row>
    <row r="148" spans="1:5" x14ac:dyDescent="0.25">
      <c r="A148" s="29">
        <v>676.43</v>
      </c>
      <c r="B148" s="30">
        <v>616.79</v>
      </c>
      <c r="D148" s="15">
        <v>676.43</v>
      </c>
      <c r="E148" s="16">
        <v>616.79</v>
      </c>
    </row>
    <row r="149" spans="1:5" x14ac:dyDescent="0.25">
      <c r="A149" s="29">
        <v>726.6</v>
      </c>
      <c r="B149" s="30">
        <v>-191.82</v>
      </c>
      <c r="D149" s="15">
        <v>726.6</v>
      </c>
      <c r="E149" s="16">
        <v>-191.82</v>
      </c>
    </row>
    <row r="150" spans="1:5" x14ac:dyDescent="0.25">
      <c r="A150" s="29">
        <v>773.58</v>
      </c>
      <c r="B150" s="30">
        <v>911.61</v>
      </c>
      <c r="D150" s="15">
        <v>773.58</v>
      </c>
      <c r="E150" s="16">
        <v>911.61</v>
      </c>
    </row>
    <row r="151" spans="1:5" x14ac:dyDescent="0.25">
      <c r="A151" s="29">
        <v>777.57</v>
      </c>
      <c r="B151" s="30">
        <v>42.95</v>
      </c>
      <c r="D151" s="15">
        <v>777.57</v>
      </c>
      <c r="E151" s="16">
        <v>42.95</v>
      </c>
    </row>
    <row r="152" spans="1:5" x14ac:dyDescent="0.25">
      <c r="A152" s="29">
        <v>780.19</v>
      </c>
      <c r="B152" s="30">
        <v>1223.27</v>
      </c>
      <c r="D152" s="15">
        <v>780.19</v>
      </c>
      <c r="E152" s="16">
        <v>1223.27</v>
      </c>
    </row>
    <row r="153" spans="1:5" x14ac:dyDescent="0.25">
      <c r="A153" s="29">
        <v>795.3</v>
      </c>
      <c r="B153" s="30">
        <v>1190.31</v>
      </c>
      <c r="D153" s="15">
        <v>795.3</v>
      </c>
      <c r="E153" s="16">
        <v>1190.31</v>
      </c>
    </row>
    <row r="154" spans="1:5" x14ac:dyDescent="0.25">
      <c r="A154" s="29">
        <v>799.06</v>
      </c>
      <c r="B154" s="30">
        <v>269.97000000000003</v>
      </c>
      <c r="D154" s="15">
        <v>799.06</v>
      </c>
      <c r="E154" s="16">
        <v>269.97000000000003</v>
      </c>
    </row>
    <row r="155" spans="1:5" x14ac:dyDescent="0.25">
      <c r="A155" s="29">
        <v>817.54</v>
      </c>
      <c r="B155" s="30">
        <v>470.64</v>
      </c>
      <c r="D155" s="15">
        <v>817.54</v>
      </c>
      <c r="E155" s="16">
        <v>470.64</v>
      </c>
    </row>
    <row r="156" spans="1:5" x14ac:dyDescent="0.25">
      <c r="A156" s="29">
        <v>840.97</v>
      </c>
      <c r="B156" s="30">
        <v>877.95</v>
      </c>
      <c r="D156" s="15">
        <v>840.97</v>
      </c>
      <c r="E156" s="16">
        <v>877.95</v>
      </c>
    </row>
    <row r="157" spans="1:5" x14ac:dyDescent="0.25">
      <c r="A157" s="29">
        <v>847.74</v>
      </c>
      <c r="B157" s="30">
        <v>895.86</v>
      </c>
      <c r="D157" s="15">
        <v>847.74</v>
      </c>
      <c r="E157" s="16">
        <v>895.86</v>
      </c>
    </row>
    <row r="158" spans="1:5" x14ac:dyDescent="0.25">
      <c r="A158" s="29">
        <v>855.67</v>
      </c>
      <c r="B158" s="30">
        <v>2057.0300000000002</v>
      </c>
      <c r="D158" s="15">
        <v>855.67</v>
      </c>
      <c r="E158" s="16">
        <v>2057.0300000000002</v>
      </c>
    </row>
    <row r="159" spans="1:5" x14ac:dyDescent="0.25">
      <c r="A159" s="29">
        <v>873.48</v>
      </c>
      <c r="B159" s="30">
        <v>646.84</v>
      </c>
      <c r="D159" s="15">
        <v>873.48</v>
      </c>
      <c r="E159" s="16">
        <v>646.84</v>
      </c>
    </row>
    <row r="160" spans="1:5" x14ac:dyDescent="0.25">
      <c r="A160" s="29">
        <v>885.55</v>
      </c>
      <c r="B160" s="30">
        <v>911.98</v>
      </c>
      <c r="D160" s="15">
        <v>885.55</v>
      </c>
      <c r="E160" s="16">
        <v>911.98</v>
      </c>
    </row>
    <row r="161" spans="1:5" x14ac:dyDescent="0.25">
      <c r="A161" s="29">
        <v>888.61</v>
      </c>
      <c r="B161" s="30">
        <v>200.69</v>
      </c>
      <c r="D161" s="15">
        <v>888.61</v>
      </c>
      <c r="E161" s="16">
        <v>200.69</v>
      </c>
    </row>
    <row r="162" spans="1:5" x14ac:dyDescent="0.25">
      <c r="A162" s="29">
        <v>892.96</v>
      </c>
      <c r="B162" s="30">
        <v>-67.7</v>
      </c>
      <c r="D162" s="15">
        <v>892.96</v>
      </c>
      <c r="E162" s="16">
        <v>-67.7</v>
      </c>
    </row>
    <row r="163" spans="1:5" x14ac:dyDescent="0.25">
      <c r="A163" s="29">
        <v>948.06</v>
      </c>
      <c r="B163" s="30">
        <v>1332.33</v>
      </c>
      <c r="D163" s="15">
        <v>948.06</v>
      </c>
      <c r="E163" s="16">
        <v>1332.33</v>
      </c>
    </row>
    <row r="164" spans="1:5" x14ac:dyDescent="0.25">
      <c r="A164" s="29">
        <v>949.69</v>
      </c>
      <c r="B164" s="30">
        <v>635.89</v>
      </c>
      <c r="D164" s="15">
        <v>949.69</v>
      </c>
      <c r="E164" s="16">
        <v>635.89</v>
      </c>
    </row>
    <row r="165" spans="1:5" x14ac:dyDescent="0.25">
      <c r="A165" s="29">
        <v>985.38</v>
      </c>
      <c r="B165" s="30">
        <v>1239.8499999999999</v>
      </c>
      <c r="D165" s="15">
        <v>985.38</v>
      </c>
      <c r="E165" s="16">
        <v>1239.8499999999999</v>
      </c>
    </row>
    <row r="166" spans="1:5" x14ac:dyDescent="0.25">
      <c r="A166" s="29">
        <v>991.9</v>
      </c>
      <c r="B166" s="30">
        <v>443.9</v>
      </c>
      <c r="D166" s="15">
        <v>991.9</v>
      </c>
      <c r="E166" s="16">
        <v>443.9</v>
      </c>
    </row>
    <row r="167" spans="1:5" x14ac:dyDescent="0.25">
      <c r="A167" s="29">
        <v>1014.95</v>
      </c>
      <c r="B167" s="30">
        <v>537.29</v>
      </c>
      <c r="D167" s="15">
        <v>1014.95</v>
      </c>
      <c r="E167" s="16">
        <v>537.29</v>
      </c>
    </row>
    <row r="168" spans="1:5" x14ac:dyDescent="0.25">
      <c r="A168" s="29">
        <v>1017.61</v>
      </c>
      <c r="B168" s="30">
        <v>1153.6500000000001</v>
      </c>
      <c r="D168" s="15">
        <v>1017.61</v>
      </c>
      <c r="E168" s="16">
        <v>1153.6500000000001</v>
      </c>
    </row>
    <row r="169" spans="1:5" x14ac:dyDescent="0.25">
      <c r="A169" s="29">
        <v>1021.42</v>
      </c>
      <c r="B169" s="30">
        <v>73.05</v>
      </c>
      <c r="D169" s="15">
        <v>1021.42</v>
      </c>
      <c r="E169" s="16">
        <v>73.05</v>
      </c>
    </row>
    <row r="170" spans="1:5" x14ac:dyDescent="0.25">
      <c r="A170" s="29">
        <v>1064.3399999999999</v>
      </c>
      <c r="B170" s="30">
        <v>-175.88</v>
      </c>
      <c r="D170" s="15">
        <v>1064.3399999999999</v>
      </c>
      <c r="E170" s="16">
        <v>-175.88</v>
      </c>
    </row>
    <row r="171" spans="1:5" x14ac:dyDescent="0.25">
      <c r="A171" s="29">
        <v>1071.95</v>
      </c>
      <c r="B171" s="30">
        <v>-250.29</v>
      </c>
      <c r="D171" s="15">
        <v>1071.95</v>
      </c>
      <c r="E171" s="16">
        <v>-250.29</v>
      </c>
    </row>
    <row r="172" spans="1:5" x14ac:dyDescent="0.25">
      <c r="A172" s="29">
        <v>1087.9100000000001</v>
      </c>
      <c r="B172" s="30">
        <v>94.83</v>
      </c>
      <c r="D172" s="15">
        <v>1087.9100000000001</v>
      </c>
      <c r="E172" s="16">
        <v>94.83</v>
      </c>
    </row>
    <row r="173" spans="1:5" x14ac:dyDescent="0.25">
      <c r="A173" s="29">
        <v>1090.92</v>
      </c>
      <c r="B173" s="30">
        <v>270.83999999999997</v>
      </c>
      <c r="D173" s="15">
        <v>1090.92</v>
      </c>
      <c r="E173" s="16">
        <v>270.83999999999997</v>
      </c>
    </row>
    <row r="174" spans="1:5" x14ac:dyDescent="0.25">
      <c r="A174" s="29">
        <v>1127.6400000000001</v>
      </c>
      <c r="B174" s="30">
        <v>264.95</v>
      </c>
      <c r="D174" s="15">
        <v>1127.6400000000001</v>
      </c>
      <c r="E174" s="16">
        <v>264.95</v>
      </c>
    </row>
    <row r="175" spans="1:5" x14ac:dyDescent="0.25">
      <c r="A175" s="29">
        <v>1143.99</v>
      </c>
      <c r="B175" s="30">
        <v>473.61</v>
      </c>
      <c r="D175" s="15">
        <v>1143.99</v>
      </c>
      <c r="E175" s="16">
        <v>473.61</v>
      </c>
    </row>
    <row r="176" spans="1:5" x14ac:dyDescent="0.25">
      <c r="A176" s="29">
        <v>1146.1600000000001</v>
      </c>
      <c r="B176" s="30">
        <v>-253.85</v>
      </c>
      <c r="D176" s="15">
        <v>1146.1600000000001</v>
      </c>
      <c r="E176" s="16">
        <v>-253.85</v>
      </c>
    </row>
    <row r="177" spans="1:5" x14ac:dyDescent="0.25">
      <c r="A177" s="29">
        <v>1174.3399999999999</v>
      </c>
      <c r="B177" s="30">
        <v>168.72</v>
      </c>
      <c r="D177" s="15">
        <v>1174.3399999999999</v>
      </c>
      <c r="E177" s="16">
        <v>168.72</v>
      </c>
    </row>
    <row r="178" spans="1:5" x14ac:dyDescent="0.25">
      <c r="A178" s="29">
        <v>1201.1199999999999</v>
      </c>
      <c r="B178" s="30">
        <v>171.36</v>
      </c>
      <c r="D178" s="15">
        <v>1201.1199999999999</v>
      </c>
      <c r="E178" s="16">
        <v>171.36</v>
      </c>
    </row>
    <row r="179" spans="1:5" x14ac:dyDescent="0.25">
      <c r="A179" s="29">
        <v>1202.6500000000001</v>
      </c>
      <c r="B179" s="30">
        <v>1254.3499999999999</v>
      </c>
      <c r="D179" s="15">
        <v>1202.6500000000001</v>
      </c>
      <c r="E179" s="16">
        <v>1254.3499999999999</v>
      </c>
    </row>
    <row r="180" spans="1:5" x14ac:dyDescent="0.25">
      <c r="A180" s="29">
        <v>1227.8800000000001</v>
      </c>
      <c r="B180" s="30">
        <v>220.18</v>
      </c>
      <c r="D180" s="15">
        <v>1227.8800000000001</v>
      </c>
      <c r="E180" s="16">
        <v>220.18</v>
      </c>
    </row>
    <row r="181" spans="1:5" x14ac:dyDescent="0.25">
      <c r="A181" s="29">
        <v>1228.8</v>
      </c>
      <c r="B181" s="30">
        <v>972.92</v>
      </c>
      <c r="D181" s="15">
        <v>1228.8</v>
      </c>
      <c r="E181" s="16">
        <v>972.92</v>
      </c>
    </row>
    <row r="182" spans="1:5" x14ac:dyDescent="0.25">
      <c r="A182" s="29">
        <v>1246.1600000000001</v>
      </c>
      <c r="B182" s="30">
        <v>1272.49</v>
      </c>
      <c r="D182" s="15">
        <v>1246.1600000000001</v>
      </c>
      <c r="E182" s="16">
        <v>1272.49</v>
      </c>
    </row>
    <row r="183" spans="1:5" x14ac:dyDescent="0.25">
      <c r="A183" s="29">
        <v>1254.24</v>
      </c>
      <c r="B183" s="30">
        <v>815.02</v>
      </c>
      <c r="D183" s="15">
        <v>1254.24</v>
      </c>
      <c r="E183" s="16">
        <v>815.02</v>
      </c>
    </row>
    <row r="184" spans="1:5" x14ac:dyDescent="0.25">
      <c r="A184" s="29">
        <v>1262.3699999999999</v>
      </c>
      <c r="B184" s="30">
        <v>80.040000000000006</v>
      </c>
      <c r="D184" s="15">
        <v>1262.3699999999999</v>
      </c>
      <c r="E184" s="16">
        <v>80.040000000000006</v>
      </c>
    </row>
    <row r="185" spans="1:5" x14ac:dyDescent="0.25">
      <c r="A185" s="29">
        <v>1265.06</v>
      </c>
      <c r="B185" s="30">
        <v>-246.9</v>
      </c>
      <c r="D185" s="15">
        <v>1265.06</v>
      </c>
      <c r="E185" s="16">
        <v>-246.9</v>
      </c>
    </row>
    <row r="186" spans="1:5" x14ac:dyDescent="0.25">
      <c r="A186" s="29">
        <v>1269.92</v>
      </c>
      <c r="B186" s="30">
        <v>849.31</v>
      </c>
      <c r="D186" s="15">
        <v>1269.92</v>
      </c>
      <c r="E186" s="16">
        <v>849.31</v>
      </c>
    </row>
    <row r="187" spans="1:5" x14ac:dyDescent="0.25">
      <c r="A187" s="29">
        <v>1275.3900000000001</v>
      </c>
      <c r="B187" s="30">
        <v>839.68</v>
      </c>
      <c r="D187" s="15">
        <v>1275.3900000000001</v>
      </c>
      <c r="E187" s="16">
        <v>839.68</v>
      </c>
    </row>
    <row r="188" spans="1:5" x14ac:dyDescent="0.25">
      <c r="A188" s="29">
        <v>1275.67</v>
      </c>
      <c r="B188" s="30">
        <v>106.73</v>
      </c>
      <c r="D188" s="15">
        <v>1275.67</v>
      </c>
      <c r="E188" s="16">
        <v>106.73</v>
      </c>
    </row>
    <row r="189" spans="1:5" x14ac:dyDescent="0.25">
      <c r="A189" s="29">
        <v>1287.3399999999999</v>
      </c>
      <c r="B189" s="30">
        <v>1486.5</v>
      </c>
      <c r="D189" s="15">
        <v>1287.3399999999999</v>
      </c>
      <c r="E189" s="16">
        <v>1486.5</v>
      </c>
    </row>
    <row r="190" spans="1:5" x14ac:dyDescent="0.25">
      <c r="A190" s="29">
        <v>1311.25</v>
      </c>
      <c r="B190" s="30">
        <v>-83.7</v>
      </c>
      <c r="D190" s="15">
        <v>1311.25</v>
      </c>
      <c r="E190" s="16">
        <v>-83.7</v>
      </c>
    </row>
    <row r="191" spans="1:5" x14ac:dyDescent="0.25">
      <c r="A191" s="29">
        <v>1343.04</v>
      </c>
      <c r="B191" s="30">
        <v>1082.71</v>
      </c>
      <c r="D191" s="15">
        <v>1343.04</v>
      </c>
      <c r="E191" s="16">
        <v>1082.71</v>
      </c>
    </row>
    <row r="192" spans="1:5" x14ac:dyDescent="0.25">
      <c r="A192" s="29">
        <v>1356.72</v>
      </c>
      <c r="B192" s="30">
        <v>1292.5899999999999</v>
      </c>
      <c r="D192" s="15">
        <v>1356.72</v>
      </c>
      <c r="E192" s="16">
        <v>1292.5899999999999</v>
      </c>
    </row>
    <row r="193" spans="1:5" x14ac:dyDescent="0.25">
      <c r="A193" s="29">
        <v>1364.8</v>
      </c>
      <c r="B193" s="30">
        <v>700.61</v>
      </c>
      <c r="D193" s="15">
        <v>1364.8</v>
      </c>
      <c r="E193" s="16">
        <v>700.61</v>
      </c>
    </row>
    <row r="194" spans="1:5" x14ac:dyDescent="0.25">
      <c r="A194" s="29">
        <v>1371.2</v>
      </c>
      <c r="B194" s="30">
        <v>-80.06</v>
      </c>
      <c r="D194" s="15">
        <v>1371.2</v>
      </c>
      <c r="E194" s="16">
        <v>-80.06</v>
      </c>
    </row>
    <row r="195" spans="1:5" x14ac:dyDescent="0.25">
      <c r="A195" s="29">
        <v>1375.75</v>
      </c>
      <c r="B195" s="30">
        <v>236.69</v>
      </c>
      <c r="D195" s="15">
        <v>1375.75</v>
      </c>
      <c r="E195" s="16">
        <v>236.69</v>
      </c>
    </row>
    <row r="196" spans="1:5" x14ac:dyDescent="0.25">
      <c r="A196" s="29">
        <v>1398.1</v>
      </c>
      <c r="B196" s="30">
        <v>102.5</v>
      </c>
      <c r="D196" s="15">
        <v>1398.1</v>
      </c>
      <c r="E196" s="16">
        <v>102.5</v>
      </c>
    </row>
    <row r="197" spans="1:5" x14ac:dyDescent="0.25">
      <c r="A197" s="29">
        <v>1420.08</v>
      </c>
      <c r="B197" s="30">
        <v>469.39</v>
      </c>
      <c r="D197" s="15">
        <v>1420.08</v>
      </c>
      <c r="E197" s="16">
        <v>469.39</v>
      </c>
    </row>
    <row r="198" spans="1:5" x14ac:dyDescent="0.25">
      <c r="A198" s="29">
        <v>1424.88</v>
      </c>
      <c r="B198" s="30">
        <v>1368.71</v>
      </c>
      <c r="D198" s="15">
        <v>1424.88</v>
      </c>
      <c r="E198" s="16">
        <v>1368.71</v>
      </c>
    </row>
    <row r="199" spans="1:5" x14ac:dyDescent="0.25">
      <c r="A199" s="29">
        <v>1433.41</v>
      </c>
      <c r="B199" s="30">
        <v>451.32</v>
      </c>
      <c r="D199" s="15">
        <v>1433.41</v>
      </c>
      <c r="E199" s="16">
        <v>451.32</v>
      </c>
    </row>
    <row r="200" spans="1:5" x14ac:dyDescent="0.25">
      <c r="A200" s="29">
        <v>1439.76</v>
      </c>
      <c r="B200" s="30">
        <v>640.96</v>
      </c>
      <c r="D200" s="15">
        <v>1439.76</v>
      </c>
      <c r="E200" s="16">
        <v>640.96</v>
      </c>
    </row>
    <row r="201" spans="1:5" x14ac:dyDescent="0.25">
      <c r="A201" s="29">
        <v>1494.81</v>
      </c>
      <c r="B201" s="30">
        <v>384.19</v>
      </c>
      <c r="D201" s="15">
        <v>1494.81</v>
      </c>
      <c r="E201" s="16">
        <v>384.19</v>
      </c>
    </row>
    <row r="202" spans="1:5" x14ac:dyDescent="0.25">
      <c r="A202" s="29">
        <v>1500.11</v>
      </c>
      <c r="B202" s="30">
        <v>595.77</v>
      </c>
      <c r="D202" s="15">
        <v>1500.11</v>
      </c>
      <c r="E202" s="16">
        <v>595.77</v>
      </c>
    </row>
    <row r="203" spans="1:5" x14ac:dyDescent="0.25">
      <c r="A203" s="29">
        <v>1539.36</v>
      </c>
      <c r="B203" s="30">
        <v>383.31</v>
      </c>
      <c r="D203" s="15">
        <v>1539.36</v>
      </c>
      <c r="E203" s="16">
        <v>383.31</v>
      </c>
    </row>
    <row r="204" spans="1:5" x14ac:dyDescent="0.25">
      <c r="A204" s="29">
        <v>1541.2</v>
      </c>
      <c r="B204" s="30">
        <v>1019.79</v>
      </c>
      <c r="D204" s="15">
        <v>1541.2</v>
      </c>
      <c r="E204" s="16">
        <v>1019.79</v>
      </c>
    </row>
    <row r="205" spans="1:5" x14ac:dyDescent="0.25">
      <c r="A205" s="29">
        <v>1564.26</v>
      </c>
      <c r="B205" s="30">
        <v>348.68</v>
      </c>
      <c r="D205" s="15">
        <v>1564.26</v>
      </c>
      <c r="E205" s="16">
        <v>348.68</v>
      </c>
    </row>
    <row r="206" spans="1:5" x14ac:dyDescent="0.25">
      <c r="A206" s="29">
        <v>1570.35</v>
      </c>
      <c r="B206" s="30">
        <v>1250.97</v>
      </c>
      <c r="D206" s="15">
        <v>1570.35</v>
      </c>
      <c r="E206" s="16">
        <v>1250.97</v>
      </c>
    </row>
    <row r="207" spans="1:5" x14ac:dyDescent="0.25">
      <c r="A207" s="29">
        <v>1574.5</v>
      </c>
      <c r="B207" s="30">
        <v>1093.93</v>
      </c>
      <c r="D207" s="15">
        <v>1574.5</v>
      </c>
      <c r="E207" s="16">
        <v>1093.93</v>
      </c>
    </row>
    <row r="208" spans="1:5" x14ac:dyDescent="0.25">
      <c r="A208" s="29">
        <v>1577.2</v>
      </c>
      <c r="B208" s="30">
        <v>765.58</v>
      </c>
      <c r="D208" s="15">
        <v>1577.2</v>
      </c>
      <c r="E208" s="16">
        <v>765.58</v>
      </c>
    </row>
    <row r="209" spans="1:5" x14ac:dyDescent="0.25">
      <c r="A209" s="29">
        <v>1597.03</v>
      </c>
      <c r="B209" s="30">
        <v>1325.29</v>
      </c>
      <c r="D209" s="15">
        <v>1597.03</v>
      </c>
      <c r="E209" s="16">
        <v>1325.29</v>
      </c>
    </row>
    <row r="210" spans="1:5" x14ac:dyDescent="0.25">
      <c r="A210" s="29">
        <v>1612.76</v>
      </c>
      <c r="B210" s="30">
        <v>667</v>
      </c>
      <c r="D210" s="15">
        <v>1612.76</v>
      </c>
      <c r="E210" s="16">
        <v>667</v>
      </c>
    </row>
    <row r="211" spans="1:5" x14ac:dyDescent="0.25">
      <c r="A211" s="29">
        <v>1622.71</v>
      </c>
      <c r="B211" s="30">
        <v>962.33</v>
      </c>
      <c r="D211" s="15">
        <v>1622.71</v>
      </c>
      <c r="E211" s="16">
        <v>962.33</v>
      </c>
    </row>
    <row r="212" spans="1:5" x14ac:dyDescent="0.25">
      <c r="A212" s="29">
        <v>1634.2</v>
      </c>
      <c r="B212" s="30">
        <v>1341.12</v>
      </c>
      <c r="D212" s="15">
        <v>1634.2</v>
      </c>
      <c r="E212" s="16">
        <v>1341.12</v>
      </c>
    </row>
    <row r="213" spans="1:5" x14ac:dyDescent="0.25">
      <c r="A213" s="29">
        <v>1656.87</v>
      </c>
      <c r="B213" s="30">
        <v>105.55</v>
      </c>
      <c r="D213" s="15">
        <v>1656.87</v>
      </c>
      <c r="E213" s="16">
        <v>105.55</v>
      </c>
    </row>
    <row r="214" spans="1:5" x14ac:dyDescent="0.25">
      <c r="A214" s="29">
        <v>1664.86</v>
      </c>
      <c r="B214" s="30">
        <v>-131.13</v>
      </c>
      <c r="D214" s="15">
        <v>1664.86</v>
      </c>
      <c r="E214" s="16">
        <v>-131.13</v>
      </c>
    </row>
    <row r="215" spans="1:5" x14ac:dyDescent="0.25">
      <c r="A215" s="29">
        <v>1677.62</v>
      </c>
      <c r="B215" s="30">
        <v>697.41</v>
      </c>
      <c r="D215" s="15">
        <v>1677.62</v>
      </c>
      <c r="E215" s="16">
        <v>697.41</v>
      </c>
    </row>
    <row r="216" spans="1:5" x14ac:dyDescent="0.25">
      <c r="A216" s="29">
        <v>1679.93</v>
      </c>
      <c r="B216" s="30">
        <v>635.98</v>
      </c>
      <c r="D216" s="15">
        <v>1679.93</v>
      </c>
      <c r="E216" s="16">
        <v>635.98</v>
      </c>
    </row>
    <row r="217" spans="1:5" x14ac:dyDescent="0.25">
      <c r="A217" s="29">
        <v>1697.98</v>
      </c>
      <c r="B217" s="30">
        <v>49.21</v>
      </c>
      <c r="D217" s="15">
        <v>1697.98</v>
      </c>
      <c r="E217" s="16">
        <v>49.21</v>
      </c>
    </row>
    <row r="218" spans="1:5" x14ac:dyDescent="0.25">
      <c r="A218" s="29">
        <v>1705.39</v>
      </c>
      <c r="B218" s="30">
        <v>1378.96</v>
      </c>
      <c r="D218" s="15">
        <v>1705.39</v>
      </c>
      <c r="E218" s="16">
        <v>1378.96</v>
      </c>
    </row>
    <row r="219" spans="1:5" x14ac:dyDescent="0.25">
      <c r="A219" s="29">
        <v>1725.08</v>
      </c>
      <c r="B219" s="30">
        <v>106.37</v>
      </c>
      <c r="D219" s="15">
        <v>1725.08</v>
      </c>
      <c r="E219" s="16">
        <v>106.37</v>
      </c>
    </row>
    <row r="220" spans="1:5" x14ac:dyDescent="0.25">
      <c r="A220" s="29">
        <v>1727.96</v>
      </c>
      <c r="B220" s="30">
        <v>940.34</v>
      </c>
      <c r="D220" s="15">
        <v>1727.96</v>
      </c>
      <c r="E220" s="16">
        <v>940.34</v>
      </c>
    </row>
    <row r="221" spans="1:5" x14ac:dyDescent="0.25">
      <c r="A221" s="29">
        <v>1759.71</v>
      </c>
      <c r="B221" s="30">
        <v>1423.88</v>
      </c>
      <c r="D221" s="15">
        <v>1759.71</v>
      </c>
      <c r="E221" s="16">
        <v>1423.88</v>
      </c>
    </row>
    <row r="222" spans="1:5" x14ac:dyDescent="0.25">
      <c r="A222" s="29">
        <v>1774.37</v>
      </c>
      <c r="B222" s="30">
        <v>226.36</v>
      </c>
      <c r="D222" s="15">
        <v>1774.37</v>
      </c>
      <c r="E222" s="16">
        <v>226.36</v>
      </c>
    </row>
    <row r="223" spans="1:5" x14ac:dyDescent="0.25">
      <c r="A223" s="29">
        <v>1782.78</v>
      </c>
      <c r="B223" s="30">
        <v>1214.45</v>
      </c>
      <c r="D223" s="15">
        <v>1782.78</v>
      </c>
      <c r="E223" s="16">
        <v>1214.45</v>
      </c>
    </row>
    <row r="224" spans="1:5" x14ac:dyDescent="0.25">
      <c r="A224" s="29">
        <v>1792.99</v>
      </c>
      <c r="B224" s="30">
        <v>-12.12</v>
      </c>
      <c r="D224" s="15">
        <v>1792.99</v>
      </c>
      <c r="E224" s="16">
        <v>-12.12</v>
      </c>
    </row>
    <row r="225" spans="1:5" x14ac:dyDescent="0.25">
      <c r="A225" s="29">
        <v>1836.94</v>
      </c>
      <c r="B225" s="30">
        <v>806.97</v>
      </c>
      <c r="D225" s="15">
        <v>1836.94</v>
      </c>
      <c r="E225" s="16">
        <v>806.97</v>
      </c>
    </row>
    <row r="226" spans="1:5" x14ac:dyDescent="0.25">
      <c r="A226" s="29">
        <v>1862.33</v>
      </c>
      <c r="B226" s="30">
        <v>1176.4100000000001</v>
      </c>
      <c r="D226" s="15">
        <v>1862.33</v>
      </c>
      <c r="E226" s="16">
        <v>1176.4100000000001</v>
      </c>
    </row>
    <row r="227" spans="1:5" x14ac:dyDescent="0.25">
      <c r="A227" s="29">
        <v>1912.5</v>
      </c>
      <c r="B227" s="30">
        <v>746.22</v>
      </c>
      <c r="D227" s="15">
        <v>1912.5</v>
      </c>
      <c r="E227" s="16">
        <v>746.22</v>
      </c>
    </row>
    <row r="228" spans="1:5" x14ac:dyDescent="0.25">
      <c r="A228" s="29">
        <v>1917.1</v>
      </c>
      <c r="B228" s="30">
        <v>1266.53</v>
      </c>
      <c r="D228" s="15">
        <v>1917.1</v>
      </c>
      <c r="E228" s="16">
        <v>1266.53</v>
      </c>
    </row>
    <row r="229" spans="1:5" x14ac:dyDescent="0.25">
      <c r="A229" s="29">
        <v>1977.1</v>
      </c>
      <c r="B229" s="30">
        <v>-236.52</v>
      </c>
      <c r="D229" s="15">
        <v>1977.1</v>
      </c>
      <c r="E229" s="16">
        <v>-236.52</v>
      </c>
    </row>
    <row r="230" spans="1:5" x14ac:dyDescent="0.25">
      <c r="A230" s="29">
        <v>1978.75</v>
      </c>
      <c r="B230" s="30">
        <v>1160.56</v>
      </c>
      <c r="D230" s="15">
        <v>1978.75</v>
      </c>
      <c r="E230" s="16">
        <v>1160.56</v>
      </c>
    </row>
    <row r="231" spans="1:5" x14ac:dyDescent="0.25">
      <c r="A231" s="29">
        <v>2001.15</v>
      </c>
      <c r="B231" s="30">
        <v>1136.6500000000001</v>
      </c>
      <c r="D231" s="15">
        <v>2001.15</v>
      </c>
      <c r="E231" s="16">
        <v>1136.6500000000001</v>
      </c>
    </row>
    <row r="232" spans="1:5" x14ac:dyDescent="0.25">
      <c r="A232" s="29">
        <v>2012.2</v>
      </c>
      <c r="B232" s="30">
        <v>768.83</v>
      </c>
      <c r="D232" s="15">
        <v>2012.2</v>
      </c>
      <c r="E232" s="16">
        <v>768.83</v>
      </c>
    </row>
    <row r="233" spans="1:5" x14ac:dyDescent="0.25">
      <c r="A233" s="29">
        <v>2017.15</v>
      </c>
      <c r="B233" s="30">
        <v>242.17</v>
      </c>
      <c r="D233" s="15">
        <v>2017.15</v>
      </c>
      <c r="E233" s="16">
        <v>242.17</v>
      </c>
    </row>
    <row r="234" spans="1:5" x14ac:dyDescent="0.25">
      <c r="A234" s="29">
        <v>2023.14</v>
      </c>
      <c r="B234" s="30">
        <v>421.71</v>
      </c>
      <c r="D234" s="15">
        <v>2023.14</v>
      </c>
      <c r="E234" s="16">
        <v>421.71</v>
      </c>
    </row>
    <row r="235" spans="1:5" x14ac:dyDescent="0.25">
      <c r="A235" s="29">
        <v>2025.03</v>
      </c>
      <c r="B235" s="30">
        <v>662.98</v>
      </c>
      <c r="D235" s="15">
        <v>2025.03</v>
      </c>
      <c r="E235" s="16">
        <v>662.98</v>
      </c>
    </row>
    <row r="236" spans="1:5" x14ac:dyDescent="0.25">
      <c r="A236" s="29">
        <v>2027.6</v>
      </c>
      <c r="B236" s="30">
        <v>1449.62</v>
      </c>
      <c r="D236" s="15">
        <v>2027.6</v>
      </c>
      <c r="E236" s="16">
        <v>1449.62</v>
      </c>
    </row>
    <row r="237" spans="1:5" x14ac:dyDescent="0.25">
      <c r="A237" s="29">
        <v>2035.07</v>
      </c>
      <c r="B237" s="30">
        <v>893.74</v>
      </c>
      <c r="D237" s="15">
        <v>2035.07</v>
      </c>
      <c r="E237" s="16">
        <v>893.74</v>
      </c>
    </row>
    <row r="238" spans="1:5" x14ac:dyDescent="0.25">
      <c r="A238" s="29">
        <v>2047.19</v>
      </c>
      <c r="B238" s="30">
        <v>1162.03</v>
      </c>
      <c r="D238" s="15">
        <v>2047.19</v>
      </c>
      <c r="E238" s="16">
        <v>1162.03</v>
      </c>
    </row>
    <row r="239" spans="1:5" x14ac:dyDescent="0.25">
      <c r="A239" s="29">
        <v>2061.21</v>
      </c>
      <c r="B239" s="30">
        <v>177.42</v>
      </c>
      <c r="D239" s="15">
        <v>2061.21</v>
      </c>
      <c r="E239" s="16">
        <v>177.42</v>
      </c>
    </row>
    <row r="240" spans="1:5" x14ac:dyDescent="0.25">
      <c r="A240" s="29">
        <v>2067.84</v>
      </c>
      <c r="B240" s="30">
        <v>-211.83</v>
      </c>
      <c r="D240" s="15">
        <v>2067.84</v>
      </c>
      <c r="E240" s="16">
        <v>-211.83</v>
      </c>
    </row>
    <row r="241" spans="1:5" x14ac:dyDescent="0.25">
      <c r="A241" s="29">
        <v>2103.2800000000002</v>
      </c>
      <c r="B241" s="30">
        <v>1009.03</v>
      </c>
      <c r="D241" s="15">
        <v>2103.2800000000002</v>
      </c>
      <c r="E241" s="16">
        <v>1009.03</v>
      </c>
    </row>
    <row r="242" spans="1:5" x14ac:dyDescent="0.25">
      <c r="A242" s="29">
        <v>2109</v>
      </c>
      <c r="B242" s="30">
        <v>451.5</v>
      </c>
      <c r="D242" s="15">
        <v>2109</v>
      </c>
      <c r="E242" s="16">
        <v>451.5</v>
      </c>
    </row>
    <row r="243" spans="1:5" x14ac:dyDescent="0.25">
      <c r="A243" s="29">
        <v>2109.7600000000002</v>
      </c>
      <c r="B243" s="30">
        <v>1495.82</v>
      </c>
      <c r="D243" s="15">
        <v>2109.7600000000002</v>
      </c>
      <c r="E243" s="16">
        <v>1495.82</v>
      </c>
    </row>
    <row r="244" spans="1:5" x14ac:dyDescent="0.25">
      <c r="A244" s="29">
        <v>2112.8000000000002</v>
      </c>
      <c r="B244" s="30">
        <v>1159.47</v>
      </c>
      <c r="D244" s="15">
        <v>2112.8000000000002</v>
      </c>
      <c r="E244" s="16">
        <v>1159.47</v>
      </c>
    </row>
    <row r="245" spans="1:5" x14ac:dyDescent="0.25">
      <c r="A245" s="29">
        <v>2145.14</v>
      </c>
      <c r="B245" s="30">
        <v>1383.02</v>
      </c>
      <c r="D245" s="15">
        <v>2145.14</v>
      </c>
      <c r="E245" s="16">
        <v>1383.02</v>
      </c>
    </row>
    <row r="246" spans="1:5" x14ac:dyDescent="0.25">
      <c r="A246" s="29">
        <v>2152.2600000000002</v>
      </c>
      <c r="B246" s="30">
        <v>1286.18</v>
      </c>
      <c r="D246" s="15">
        <v>2152.2600000000002</v>
      </c>
      <c r="E246" s="16">
        <v>1286.18</v>
      </c>
    </row>
    <row r="247" spans="1:5" x14ac:dyDescent="0.25">
      <c r="A247" s="29">
        <v>2182.2600000000002</v>
      </c>
      <c r="B247" s="30">
        <v>-287.76</v>
      </c>
      <c r="D247" s="15">
        <v>2182.2600000000002</v>
      </c>
      <c r="E247" s="16">
        <v>-287.76</v>
      </c>
    </row>
    <row r="248" spans="1:5" x14ac:dyDescent="0.25">
      <c r="A248" s="29">
        <v>2214.86</v>
      </c>
      <c r="B248" s="30">
        <v>788.22</v>
      </c>
      <c r="D248" s="15">
        <v>2214.86</v>
      </c>
      <c r="E248" s="16">
        <v>788.22</v>
      </c>
    </row>
    <row r="249" spans="1:5" x14ac:dyDescent="0.25">
      <c r="A249" s="29">
        <v>2229.7800000000002</v>
      </c>
      <c r="B249" s="30">
        <v>110.46</v>
      </c>
      <c r="D249" s="15">
        <v>2229.7800000000002</v>
      </c>
      <c r="E249" s="16">
        <v>110.46</v>
      </c>
    </row>
    <row r="250" spans="1:5" x14ac:dyDescent="0.25">
      <c r="A250" s="29">
        <v>2230.7199999999998</v>
      </c>
      <c r="B250" s="30">
        <v>986.89</v>
      </c>
      <c r="D250" s="15">
        <v>2230.7199999999998</v>
      </c>
      <c r="E250" s="16">
        <v>986.89</v>
      </c>
    </row>
    <row r="251" spans="1:5" x14ac:dyDescent="0.25">
      <c r="A251" s="29">
        <v>2234.9899999999998</v>
      </c>
      <c r="B251" s="30">
        <v>339.67</v>
      </c>
      <c r="D251" s="15">
        <v>2234.9899999999998</v>
      </c>
      <c r="E251" s="16">
        <v>339.67</v>
      </c>
    </row>
    <row r="252" spans="1:5" x14ac:dyDescent="0.25">
      <c r="A252" s="29">
        <v>2249.15</v>
      </c>
      <c r="B252" s="30">
        <v>1245.27</v>
      </c>
      <c r="D252" s="15">
        <v>2249.15</v>
      </c>
      <c r="E252" s="16">
        <v>1245.27</v>
      </c>
    </row>
    <row r="253" spans="1:5" x14ac:dyDescent="0.25">
      <c r="A253" s="29">
        <v>2300.19</v>
      </c>
      <c r="B253" s="30">
        <v>818.69</v>
      </c>
      <c r="D253" s="15">
        <v>2300.19</v>
      </c>
      <c r="E253" s="16">
        <v>818.69</v>
      </c>
    </row>
    <row r="254" spans="1:5" x14ac:dyDescent="0.25">
      <c r="A254" s="29">
        <v>2300.4699999999998</v>
      </c>
      <c r="B254" s="30">
        <v>-61.94</v>
      </c>
      <c r="D254" s="15">
        <v>2300.4699999999998</v>
      </c>
      <c r="E254" s="16">
        <v>-61.94</v>
      </c>
    </row>
    <row r="255" spans="1:5" x14ac:dyDescent="0.25">
      <c r="A255" s="29">
        <v>2311.41</v>
      </c>
      <c r="B255" s="30">
        <v>982.13</v>
      </c>
      <c r="D255" s="15">
        <v>2311.41</v>
      </c>
      <c r="E255" s="16">
        <v>982.13</v>
      </c>
    </row>
    <row r="256" spans="1:5" x14ac:dyDescent="0.25">
      <c r="A256" s="29">
        <v>2321.84</v>
      </c>
      <c r="B256" s="30">
        <v>365.59</v>
      </c>
      <c r="D256" s="15">
        <v>2321.84</v>
      </c>
      <c r="E256" s="16">
        <v>365.59</v>
      </c>
    </row>
    <row r="257" spans="1:5" x14ac:dyDescent="0.25">
      <c r="A257" s="29">
        <v>2332.11</v>
      </c>
      <c r="B257" s="30">
        <v>367.15</v>
      </c>
      <c r="D257" s="15">
        <v>2332.11</v>
      </c>
      <c r="E257" s="16">
        <v>367.15</v>
      </c>
    </row>
    <row r="258" spans="1:5" x14ac:dyDescent="0.25">
      <c r="A258" s="29">
        <v>2344.7800000000002</v>
      </c>
      <c r="B258" s="30">
        <v>1162.69</v>
      </c>
      <c r="D258" s="15">
        <v>2344.7800000000002</v>
      </c>
      <c r="E258" s="16">
        <v>1162.69</v>
      </c>
    </row>
    <row r="259" spans="1:5" x14ac:dyDescent="0.25">
      <c r="A259" s="29">
        <v>2345.29</v>
      </c>
      <c r="B259" s="30">
        <v>-219.12</v>
      </c>
      <c r="D259" s="15">
        <v>2345.29</v>
      </c>
      <c r="E259" s="16">
        <v>-219.12</v>
      </c>
    </row>
    <row r="260" spans="1:5" x14ac:dyDescent="0.25">
      <c r="A260" s="29">
        <v>2348.38</v>
      </c>
      <c r="B260" s="30">
        <v>129.04</v>
      </c>
      <c r="D260" s="15">
        <v>2348.38</v>
      </c>
      <c r="E260" s="16">
        <v>129.04</v>
      </c>
    </row>
    <row r="261" spans="1:5" x14ac:dyDescent="0.25">
      <c r="A261" s="29">
        <v>2349.66</v>
      </c>
      <c r="B261" s="30">
        <v>420.61</v>
      </c>
      <c r="D261" s="15">
        <v>2349.66</v>
      </c>
      <c r="E261" s="16">
        <v>420.61</v>
      </c>
    </row>
    <row r="262" spans="1:5" x14ac:dyDescent="0.25">
      <c r="A262" s="29">
        <v>2353.94</v>
      </c>
      <c r="B262" s="30">
        <v>-168.69</v>
      </c>
      <c r="D262" s="15">
        <v>2353.94</v>
      </c>
      <c r="E262" s="16">
        <v>-168.69</v>
      </c>
    </row>
    <row r="263" spans="1:5" x14ac:dyDescent="0.25">
      <c r="A263" s="29">
        <v>2359.85</v>
      </c>
      <c r="B263" s="30">
        <v>-256</v>
      </c>
      <c r="D263" s="15">
        <v>2359.85</v>
      </c>
      <c r="E263" s="16">
        <v>-256</v>
      </c>
    </row>
    <row r="264" spans="1:5" x14ac:dyDescent="0.25">
      <c r="A264" s="29">
        <v>2377.35</v>
      </c>
      <c r="B264" s="30">
        <v>-216.07</v>
      </c>
      <c r="D264" s="15">
        <v>2377.35</v>
      </c>
      <c r="E264" s="16">
        <v>-216.07</v>
      </c>
    </row>
    <row r="265" spans="1:5" x14ac:dyDescent="0.25">
      <c r="A265" s="29">
        <v>2408.79</v>
      </c>
      <c r="B265" s="30">
        <v>-163.12</v>
      </c>
      <c r="D265" s="15">
        <v>2408.79</v>
      </c>
      <c r="E265" s="16">
        <v>-163.12</v>
      </c>
    </row>
    <row r="266" spans="1:5" x14ac:dyDescent="0.25">
      <c r="A266" s="29">
        <v>2431.4</v>
      </c>
      <c r="B266" s="30">
        <v>880.09</v>
      </c>
      <c r="D266" s="15">
        <v>2431.4</v>
      </c>
      <c r="E266" s="16">
        <v>880.09</v>
      </c>
    </row>
    <row r="267" spans="1:5" x14ac:dyDescent="0.25">
      <c r="A267" s="29">
        <v>2448.29</v>
      </c>
      <c r="B267" s="30">
        <v>801.03</v>
      </c>
      <c r="D267" s="15">
        <v>2448.29</v>
      </c>
      <c r="E267" s="16">
        <v>801.03</v>
      </c>
    </row>
    <row r="268" spans="1:5" x14ac:dyDescent="0.25">
      <c r="A268" s="29">
        <v>2454.85</v>
      </c>
      <c r="B268" s="30">
        <v>-156.56</v>
      </c>
      <c r="D268" s="15">
        <v>2454.85</v>
      </c>
      <c r="E268" s="16">
        <v>-156.56</v>
      </c>
    </row>
    <row r="269" spans="1:5" x14ac:dyDescent="0.25">
      <c r="A269" s="29">
        <v>2501.59</v>
      </c>
      <c r="B269" s="30">
        <v>451.86</v>
      </c>
      <c r="D269" s="15">
        <v>2501.59</v>
      </c>
      <c r="E269" s="16">
        <v>451.86</v>
      </c>
    </row>
    <row r="270" spans="1:5" x14ac:dyDescent="0.25">
      <c r="A270" s="29">
        <v>2508.9699999999998</v>
      </c>
      <c r="B270" s="30">
        <v>1189.96</v>
      </c>
      <c r="D270" s="15">
        <v>2508.9699999999998</v>
      </c>
      <c r="E270" s="16">
        <v>1189.96</v>
      </c>
    </row>
    <row r="271" spans="1:5" x14ac:dyDescent="0.25">
      <c r="A271" s="29">
        <v>2523.6</v>
      </c>
      <c r="B271" s="30">
        <v>-9.5299999999999994</v>
      </c>
      <c r="D271" s="15">
        <v>2523.6</v>
      </c>
      <c r="E271" s="16">
        <v>-9.5299999999999994</v>
      </c>
    </row>
    <row r="272" spans="1:5" x14ac:dyDescent="0.25">
      <c r="A272" s="29">
        <v>2586.4</v>
      </c>
      <c r="B272" s="30">
        <v>-103.86</v>
      </c>
      <c r="D272" s="15">
        <v>2586.4</v>
      </c>
      <c r="E272" s="16">
        <v>-103.86</v>
      </c>
    </row>
    <row r="273" spans="1:5" x14ac:dyDescent="0.25">
      <c r="A273" s="29">
        <v>2595.06</v>
      </c>
      <c r="B273" s="30">
        <v>493.35</v>
      </c>
      <c r="D273" s="15">
        <v>2595.06</v>
      </c>
      <c r="E273" s="16">
        <v>493.35</v>
      </c>
    </row>
    <row r="274" spans="1:5" x14ac:dyDescent="0.25">
      <c r="A274" s="29">
        <v>2605.17</v>
      </c>
      <c r="B274" s="30">
        <v>1091.93</v>
      </c>
      <c r="D274" s="15">
        <v>2605.17</v>
      </c>
      <c r="E274" s="16">
        <v>1091.93</v>
      </c>
    </row>
    <row r="275" spans="1:5" x14ac:dyDescent="0.25">
      <c r="A275" s="29">
        <v>2630.52</v>
      </c>
      <c r="B275" s="30">
        <v>-286.64</v>
      </c>
      <c r="D275" s="15">
        <v>2630.52</v>
      </c>
      <c r="E275" s="16">
        <v>-286.64</v>
      </c>
    </row>
    <row r="276" spans="1:5" x14ac:dyDescent="0.25">
      <c r="A276" s="29">
        <v>2638.5</v>
      </c>
      <c r="B276" s="30">
        <v>1240.08</v>
      </c>
      <c r="D276" s="15">
        <v>2638.5</v>
      </c>
      <c r="E276" s="16">
        <v>1240.08</v>
      </c>
    </row>
    <row r="277" spans="1:5" x14ac:dyDescent="0.25">
      <c r="A277" s="29">
        <v>2639.03</v>
      </c>
      <c r="B277" s="30">
        <v>-1.68</v>
      </c>
      <c r="D277" s="15">
        <v>2639.03</v>
      </c>
      <c r="E277" s="16">
        <v>-1.68</v>
      </c>
    </row>
    <row r="278" spans="1:5" x14ac:dyDescent="0.25">
      <c r="A278" s="29">
        <v>2647.89</v>
      </c>
      <c r="B278" s="30">
        <v>650.53</v>
      </c>
      <c r="D278" s="15">
        <v>2647.89</v>
      </c>
      <c r="E278" s="16">
        <v>650.53</v>
      </c>
    </row>
    <row r="279" spans="1:5" x14ac:dyDescent="0.25">
      <c r="A279" s="29">
        <v>2709.13</v>
      </c>
      <c r="B279" s="30">
        <v>1094.52</v>
      </c>
      <c r="D279" s="15">
        <v>2709.13</v>
      </c>
      <c r="E279" s="16">
        <v>1094.52</v>
      </c>
    </row>
    <row r="280" spans="1:5" x14ac:dyDescent="0.25">
      <c r="A280" s="29">
        <v>2724.24</v>
      </c>
      <c r="B280" s="30">
        <v>-9.56</v>
      </c>
      <c r="D280" s="15">
        <v>2724.24</v>
      </c>
      <c r="E280" s="16">
        <v>-9.56</v>
      </c>
    </row>
    <row r="281" spans="1:5" x14ac:dyDescent="0.25">
      <c r="A281" s="29">
        <v>2727.33</v>
      </c>
      <c r="B281" s="30">
        <v>1093.08</v>
      </c>
      <c r="D281" s="15">
        <v>2727.33</v>
      </c>
      <c r="E281" s="16">
        <v>1093.08</v>
      </c>
    </row>
    <row r="282" spans="1:5" x14ac:dyDescent="0.25">
      <c r="A282" s="29">
        <v>2757.64</v>
      </c>
      <c r="B282" s="30">
        <v>407.02</v>
      </c>
      <c r="D282" s="15">
        <v>2757.64</v>
      </c>
      <c r="E282" s="16">
        <v>407.02</v>
      </c>
    </row>
    <row r="283" spans="1:5" x14ac:dyDescent="0.25">
      <c r="A283" s="29">
        <v>2760.62</v>
      </c>
      <c r="B283" s="30">
        <v>128.63</v>
      </c>
      <c r="D283" s="15">
        <v>2760.62</v>
      </c>
      <c r="E283" s="16">
        <v>128.63</v>
      </c>
    </row>
    <row r="284" spans="1:5" x14ac:dyDescent="0.25">
      <c r="A284" s="29">
        <v>2773.82</v>
      </c>
      <c r="B284" s="30">
        <v>772.59</v>
      </c>
      <c r="D284" s="15">
        <v>2773.82</v>
      </c>
      <c r="E284" s="16">
        <v>772.59</v>
      </c>
    </row>
    <row r="285" spans="1:5" x14ac:dyDescent="0.25">
      <c r="A285" s="29">
        <v>2780.68</v>
      </c>
      <c r="B285" s="30">
        <v>79.8</v>
      </c>
      <c r="D285" s="15">
        <v>2780.68</v>
      </c>
      <c r="E285" s="16">
        <v>79.8</v>
      </c>
    </row>
    <row r="286" spans="1:5" x14ac:dyDescent="0.25">
      <c r="A286" s="29">
        <v>2797.49</v>
      </c>
      <c r="B286" s="30">
        <v>1094.23</v>
      </c>
      <c r="D286" s="15">
        <v>2797.49</v>
      </c>
      <c r="E286" s="16">
        <v>1094.23</v>
      </c>
    </row>
    <row r="287" spans="1:5" x14ac:dyDescent="0.25">
      <c r="A287" s="29">
        <v>2801.47</v>
      </c>
      <c r="B287" s="30">
        <v>203.14</v>
      </c>
      <c r="D287" s="15">
        <v>2801.47</v>
      </c>
      <c r="E287" s="16">
        <v>203.14</v>
      </c>
    </row>
    <row r="288" spans="1:5" x14ac:dyDescent="0.25">
      <c r="A288" s="29">
        <v>2807.13</v>
      </c>
      <c r="B288" s="30">
        <v>1384.88</v>
      </c>
      <c r="D288" s="15">
        <v>2807.13</v>
      </c>
      <c r="E288" s="16">
        <v>1384.88</v>
      </c>
    </row>
    <row r="289" spans="1:5" x14ac:dyDescent="0.25">
      <c r="A289" s="29">
        <v>2812.08</v>
      </c>
      <c r="B289" s="30">
        <v>224.41</v>
      </c>
      <c r="D289" s="15">
        <v>2812.08</v>
      </c>
      <c r="E289" s="16">
        <v>224.41</v>
      </c>
    </row>
    <row r="290" spans="1:5" x14ac:dyDescent="0.25">
      <c r="A290" s="29">
        <v>2843.45</v>
      </c>
      <c r="B290" s="30">
        <v>1138.42</v>
      </c>
      <c r="D290" s="15">
        <v>2843.45</v>
      </c>
      <c r="E290" s="16">
        <v>1138.42</v>
      </c>
    </row>
    <row r="291" spans="1:5" x14ac:dyDescent="0.25">
      <c r="A291" s="29">
        <v>2873.07</v>
      </c>
      <c r="B291" s="30">
        <v>1344.56</v>
      </c>
      <c r="D291" s="15">
        <v>2873.07</v>
      </c>
      <c r="E291" s="16">
        <v>1344.56</v>
      </c>
    </row>
    <row r="292" spans="1:5" x14ac:dyDescent="0.25">
      <c r="A292" s="29">
        <v>2889.58</v>
      </c>
      <c r="B292" s="30">
        <v>522.49</v>
      </c>
      <c r="D292" s="15">
        <v>2889.58</v>
      </c>
      <c r="E292" s="16">
        <v>522.49</v>
      </c>
    </row>
    <row r="293" spans="1:5" x14ac:dyDescent="0.25">
      <c r="A293" s="29">
        <v>2898.69</v>
      </c>
      <c r="B293" s="30">
        <v>840.08</v>
      </c>
      <c r="D293" s="15">
        <v>2898.69</v>
      </c>
      <c r="E293" s="16">
        <v>840.08</v>
      </c>
    </row>
    <row r="294" spans="1:5" x14ac:dyDescent="0.25">
      <c r="A294" s="29">
        <v>2898.94</v>
      </c>
      <c r="B294" s="30">
        <v>851.91</v>
      </c>
      <c r="D294" s="15">
        <v>2898.94</v>
      </c>
      <c r="E294" s="16">
        <v>851.91</v>
      </c>
    </row>
    <row r="295" spans="1:5" x14ac:dyDescent="0.25">
      <c r="A295" s="29">
        <v>2900.34</v>
      </c>
      <c r="B295" s="30">
        <v>472.25</v>
      </c>
      <c r="D295" s="15">
        <v>2900.34</v>
      </c>
      <c r="E295" s="16">
        <v>472.25</v>
      </c>
    </row>
    <row r="296" spans="1:5" x14ac:dyDescent="0.25">
      <c r="A296" s="29">
        <v>2903.28</v>
      </c>
      <c r="B296" s="30">
        <v>562.79999999999995</v>
      </c>
      <c r="D296" s="15">
        <v>2903.28</v>
      </c>
      <c r="E296" s="16">
        <v>562.79999999999995</v>
      </c>
    </row>
    <row r="297" spans="1:5" x14ac:dyDescent="0.25">
      <c r="A297" s="29">
        <v>2908.35</v>
      </c>
      <c r="B297" s="30">
        <v>18.87</v>
      </c>
      <c r="D297" s="15">
        <v>2908.35</v>
      </c>
      <c r="E297" s="16">
        <v>18.87</v>
      </c>
    </row>
    <row r="298" spans="1:5" x14ac:dyDescent="0.25">
      <c r="A298" s="29">
        <v>2922.52</v>
      </c>
      <c r="B298" s="30">
        <v>278.93</v>
      </c>
      <c r="D298" s="15">
        <v>2922.52</v>
      </c>
      <c r="E298" s="16">
        <v>278.93</v>
      </c>
    </row>
    <row r="299" spans="1:5" x14ac:dyDescent="0.25">
      <c r="A299" s="29">
        <v>2927.06</v>
      </c>
      <c r="B299" s="30">
        <v>-185.23</v>
      </c>
      <c r="D299" s="15">
        <v>2927.06</v>
      </c>
      <c r="E299" s="16">
        <v>-185.23</v>
      </c>
    </row>
    <row r="300" spans="1:5" x14ac:dyDescent="0.25">
      <c r="A300" s="29">
        <v>2978.52</v>
      </c>
      <c r="B300" s="30">
        <v>791.17</v>
      </c>
      <c r="D300" s="15">
        <v>2978.52</v>
      </c>
      <c r="E300" s="16">
        <v>791.17</v>
      </c>
    </row>
    <row r="301" spans="1:5" x14ac:dyDescent="0.25">
      <c r="A301" s="29">
        <v>2990.93</v>
      </c>
      <c r="B301" s="30">
        <v>-21.57</v>
      </c>
      <c r="D301" s="15">
        <v>2990.93</v>
      </c>
      <c r="E301" s="16">
        <v>-21.57</v>
      </c>
    </row>
    <row r="302" spans="1:5" x14ac:dyDescent="0.25">
      <c r="A302" s="29">
        <v>3004.41</v>
      </c>
      <c r="B302" s="30">
        <v>659.8</v>
      </c>
      <c r="D302" s="15">
        <v>3004.41</v>
      </c>
      <c r="E302" s="16">
        <v>659.8</v>
      </c>
    </row>
    <row r="303" spans="1:5" x14ac:dyDescent="0.25">
      <c r="A303" s="29">
        <v>3020.49</v>
      </c>
      <c r="B303" s="30">
        <v>-189.98</v>
      </c>
      <c r="D303" s="15">
        <v>3020.49</v>
      </c>
      <c r="E303" s="16">
        <v>-189.98</v>
      </c>
    </row>
    <row r="304" spans="1:5" x14ac:dyDescent="0.25">
      <c r="A304" s="29">
        <v>3030.62</v>
      </c>
      <c r="B304" s="30">
        <v>795.26</v>
      </c>
      <c r="D304" s="15">
        <v>3030.62</v>
      </c>
      <c r="E304" s="16">
        <v>795.26</v>
      </c>
    </row>
    <row r="305" spans="1:5" x14ac:dyDescent="0.25">
      <c r="A305" s="29">
        <v>3037.84</v>
      </c>
      <c r="B305" s="30">
        <v>-235.19</v>
      </c>
      <c r="D305" s="15">
        <v>3037.84</v>
      </c>
      <c r="E305" s="16">
        <v>-235.19</v>
      </c>
    </row>
    <row r="306" spans="1:5" x14ac:dyDescent="0.25">
      <c r="A306" s="29">
        <v>3096.76</v>
      </c>
      <c r="B306" s="30">
        <v>472.07</v>
      </c>
      <c r="D306" s="15">
        <v>3096.76</v>
      </c>
      <c r="E306" s="16">
        <v>472.07</v>
      </c>
    </row>
    <row r="307" spans="1:5" x14ac:dyDescent="0.25">
      <c r="A307" s="29">
        <v>3130.42</v>
      </c>
      <c r="B307" s="30">
        <v>418.88</v>
      </c>
      <c r="D307" s="15">
        <v>3130.42</v>
      </c>
      <c r="E307" s="16">
        <v>418.88</v>
      </c>
    </row>
    <row r="308" spans="1:5" x14ac:dyDescent="0.25">
      <c r="A308" s="29">
        <v>3134.25</v>
      </c>
      <c r="B308" s="30">
        <v>694.47</v>
      </c>
      <c r="D308" s="15">
        <v>3134.25</v>
      </c>
      <c r="E308" s="16">
        <v>694.47</v>
      </c>
    </row>
    <row r="309" spans="1:5" x14ac:dyDescent="0.25">
      <c r="A309" s="29">
        <v>3151.63</v>
      </c>
      <c r="B309" s="30">
        <v>168.38</v>
      </c>
      <c r="D309" s="15">
        <v>3151.63</v>
      </c>
      <c r="E309" s="16">
        <v>168.38</v>
      </c>
    </row>
    <row r="310" spans="1:5" x14ac:dyDescent="0.25">
      <c r="A310" s="29">
        <v>3169.4</v>
      </c>
      <c r="B310" s="30">
        <v>406.68</v>
      </c>
      <c r="D310" s="15">
        <v>3169.4</v>
      </c>
      <c r="E310" s="16">
        <v>406.68</v>
      </c>
    </row>
    <row r="311" spans="1:5" x14ac:dyDescent="0.25">
      <c r="A311" s="29">
        <v>3186.43</v>
      </c>
      <c r="B311" s="30">
        <v>-224.36</v>
      </c>
      <c r="D311" s="15">
        <v>3186.43</v>
      </c>
      <c r="E311" s="16">
        <v>-224.36</v>
      </c>
    </row>
    <row r="312" spans="1:5" x14ac:dyDescent="0.25">
      <c r="A312" s="29">
        <v>3187.01</v>
      </c>
      <c r="B312" s="30">
        <v>1013.22</v>
      </c>
      <c r="D312" s="15">
        <v>3187.01</v>
      </c>
      <c r="E312" s="16">
        <v>1013.22</v>
      </c>
    </row>
    <row r="313" spans="1:5" x14ac:dyDescent="0.25">
      <c r="A313" s="29">
        <v>3188.83</v>
      </c>
      <c r="B313" s="30">
        <v>178.82</v>
      </c>
      <c r="D313" s="15">
        <v>3188.83</v>
      </c>
      <c r="E313" s="16">
        <v>178.82</v>
      </c>
    </row>
    <row r="314" spans="1:5" x14ac:dyDescent="0.25">
      <c r="A314" s="29">
        <v>3197.55</v>
      </c>
      <c r="B314" s="30">
        <v>1493.79</v>
      </c>
      <c r="D314" s="15">
        <v>3197.55</v>
      </c>
      <c r="E314" s="16">
        <v>1493.79</v>
      </c>
    </row>
    <row r="315" spans="1:5" x14ac:dyDescent="0.25">
      <c r="A315" s="29">
        <v>3213.28</v>
      </c>
      <c r="B315" s="30">
        <v>1409.83</v>
      </c>
      <c r="D315" s="15">
        <v>3213.28</v>
      </c>
      <c r="E315" s="16">
        <v>1409.83</v>
      </c>
    </row>
    <row r="316" spans="1:5" x14ac:dyDescent="0.25">
      <c r="A316" s="29">
        <v>3217.99</v>
      </c>
      <c r="B316" s="30">
        <v>-260.95</v>
      </c>
      <c r="D316" s="15">
        <v>3217.99</v>
      </c>
      <c r="E316" s="16">
        <v>-260.95</v>
      </c>
    </row>
    <row r="317" spans="1:5" x14ac:dyDescent="0.25">
      <c r="A317" s="29">
        <v>3219.5</v>
      </c>
      <c r="B317" s="30">
        <v>794.31</v>
      </c>
      <c r="D317" s="15">
        <v>3219.5</v>
      </c>
      <c r="E317" s="16">
        <v>794.31</v>
      </c>
    </row>
    <row r="318" spans="1:5" x14ac:dyDescent="0.25">
      <c r="A318" s="29">
        <v>3242.91</v>
      </c>
      <c r="B318" s="30">
        <v>741.16</v>
      </c>
      <c r="D318" s="15">
        <v>3242.91</v>
      </c>
      <c r="E318" s="16">
        <v>741.16</v>
      </c>
    </row>
    <row r="319" spans="1:5" x14ac:dyDescent="0.25">
      <c r="A319" s="29">
        <v>3256.03</v>
      </c>
      <c r="B319" s="30">
        <v>-71.099999999999994</v>
      </c>
      <c r="D319" s="15">
        <v>3256.03</v>
      </c>
      <c r="E319" s="16">
        <v>-71.099999999999994</v>
      </c>
    </row>
    <row r="320" spans="1:5" x14ac:dyDescent="0.25">
      <c r="A320" s="29">
        <v>3285.95</v>
      </c>
      <c r="B320" s="30">
        <v>777.68</v>
      </c>
      <c r="D320" s="15">
        <v>3285.95</v>
      </c>
      <c r="E320" s="16">
        <v>777.68</v>
      </c>
    </row>
    <row r="321" spans="1:5" x14ac:dyDescent="0.25">
      <c r="A321" s="29">
        <v>3324.74</v>
      </c>
      <c r="B321" s="30">
        <v>-66.69</v>
      </c>
      <c r="D321" s="15">
        <v>3324.74</v>
      </c>
      <c r="E321" s="16">
        <v>-66.69</v>
      </c>
    </row>
    <row r="322" spans="1:5" x14ac:dyDescent="0.25">
      <c r="A322" s="29">
        <v>3341.51</v>
      </c>
      <c r="B322" s="30">
        <v>448.63</v>
      </c>
      <c r="D322" s="15">
        <v>3341.51</v>
      </c>
      <c r="E322" s="16">
        <v>448.63</v>
      </c>
    </row>
    <row r="323" spans="1:5" x14ac:dyDescent="0.25">
      <c r="A323" s="29">
        <v>3393.15</v>
      </c>
      <c r="B323" s="30">
        <v>1031.54</v>
      </c>
      <c r="D323" s="15">
        <v>3393.15</v>
      </c>
      <c r="E323" s="16">
        <v>1031.54</v>
      </c>
    </row>
    <row r="324" spans="1:5" x14ac:dyDescent="0.25">
      <c r="A324" s="29">
        <v>3395.13</v>
      </c>
      <c r="B324" s="30">
        <v>-76.040000000000006</v>
      </c>
      <c r="D324" s="15">
        <v>3395.13</v>
      </c>
      <c r="E324" s="16">
        <v>-76.040000000000006</v>
      </c>
    </row>
    <row r="325" spans="1:5" x14ac:dyDescent="0.25">
      <c r="A325" s="29">
        <v>3395.4</v>
      </c>
      <c r="B325" s="30">
        <v>1308.47</v>
      </c>
      <c r="D325" s="15">
        <v>3395.4</v>
      </c>
      <c r="E325" s="16">
        <v>1308.47</v>
      </c>
    </row>
    <row r="326" spans="1:5" x14ac:dyDescent="0.25">
      <c r="A326" s="29">
        <v>3406.41</v>
      </c>
      <c r="B326" s="30">
        <v>494.75</v>
      </c>
      <c r="D326" s="15">
        <v>3406.41</v>
      </c>
      <c r="E326" s="16">
        <v>494.75</v>
      </c>
    </row>
    <row r="327" spans="1:5" x14ac:dyDescent="0.25">
      <c r="A327" s="29">
        <v>3485.81</v>
      </c>
      <c r="B327" s="30">
        <v>945.46</v>
      </c>
      <c r="D327" s="15">
        <v>3485.81</v>
      </c>
      <c r="E327" s="16">
        <v>945.46</v>
      </c>
    </row>
    <row r="328" spans="1:5" x14ac:dyDescent="0.25">
      <c r="A328" s="29">
        <v>3510</v>
      </c>
      <c r="B328" s="30">
        <v>-207.2</v>
      </c>
      <c r="D328" s="15">
        <v>3510</v>
      </c>
      <c r="E328" s="16">
        <v>-207.2</v>
      </c>
    </row>
    <row r="329" spans="1:5" x14ac:dyDescent="0.25">
      <c r="A329" s="29">
        <v>3514.78</v>
      </c>
      <c r="B329" s="30">
        <v>-260.74</v>
      </c>
      <c r="D329" s="15">
        <v>3514.78</v>
      </c>
      <c r="E329" s="16">
        <v>-260.74</v>
      </c>
    </row>
    <row r="330" spans="1:5" x14ac:dyDescent="0.25">
      <c r="A330" s="29">
        <v>3526.5</v>
      </c>
      <c r="B330" s="30">
        <v>920.7</v>
      </c>
      <c r="D330" s="15">
        <v>3526.5</v>
      </c>
      <c r="E330" s="16">
        <v>920.7</v>
      </c>
    </row>
    <row r="331" spans="1:5" x14ac:dyDescent="0.25">
      <c r="A331" s="29">
        <v>3530.56</v>
      </c>
      <c r="B331" s="30">
        <v>1303.93</v>
      </c>
      <c r="D331" s="15">
        <v>3530.56</v>
      </c>
      <c r="E331" s="16">
        <v>1303.93</v>
      </c>
    </row>
    <row r="332" spans="1:5" x14ac:dyDescent="0.25">
      <c r="A332" s="29">
        <v>3530.68</v>
      </c>
      <c r="B332" s="30">
        <v>479.4</v>
      </c>
      <c r="D332" s="15">
        <v>3530.68</v>
      </c>
      <c r="E332" s="16">
        <v>479.4</v>
      </c>
    </row>
    <row r="333" spans="1:5" x14ac:dyDescent="0.25">
      <c r="A333" s="29">
        <v>3530.81</v>
      </c>
      <c r="B333" s="30">
        <v>497.97</v>
      </c>
      <c r="D333" s="15">
        <v>3530.81</v>
      </c>
      <c r="E333" s="16">
        <v>497.97</v>
      </c>
    </row>
    <row r="334" spans="1:5" x14ac:dyDescent="0.25">
      <c r="A334" s="29">
        <v>3571.89</v>
      </c>
      <c r="B334" s="30">
        <v>-69.33</v>
      </c>
      <c r="D334" s="15">
        <v>3571.89</v>
      </c>
      <c r="E334" s="16">
        <v>-69.33</v>
      </c>
    </row>
    <row r="335" spans="1:5" x14ac:dyDescent="0.25">
      <c r="A335" s="29">
        <v>3602.98</v>
      </c>
      <c r="B335" s="30">
        <v>917.2</v>
      </c>
      <c r="D335" s="15">
        <v>3602.98</v>
      </c>
      <c r="E335" s="16">
        <v>917.2</v>
      </c>
    </row>
    <row r="336" spans="1:5" x14ac:dyDescent="0.25">
      <c r="A336" s="29">
        <v>3616.5</v>
      </c>
      <c r="B336" s="30">
        <v>960.01</v>
      </c>
      <c r="D336" s="15">
        <v>3616.5</v>
      </c>
      <c r="E336" s="16">
        <v>960.01</v>
      </c>
    </row>
    <row r="337" spans="1:5" x14ac:dyDescent="0.25">
      <c r="A337" s="29">
        <v>3621.62</v>
      </c>
      <c r="B337" s="30">
        <v>-167.73</v>
      </c>
      <c r="D337" s="15">
        <v>3621.62</v>
      </c>
      <c r="E337" s="16">
        <v>-167.73</v>
      </c>
    </row>
    <row r="338" spans="1:5" x14ac:dyDescent="0.25">
      <c r="A338" s="29">
        <v>3675.86</v>
      </c>
      <c r="B338" s="30">
        <v>649.64</v>
      </c>
      <c r="D338" s="15">
        <v>3675.86</v>
      </c>
      <c r="E338" s="16">
        <v>649.64</v>
      </c>
    </row>
    <row r="339" spans="1:5" x14ac:dyDescent="0.25">
      <c r="A339" s="29">
        <v>3691.17</v>
      </c>
      <c r="B339" s="30">
        <v>897.02</v>
      </c>
      <c r="D339" s="15">
        <v>3691.17</v>
      </c>
      <c r="E339" s="16">
        <v>897.02</v>
      </c>
    </row>
    <row r="340" spans="1:5" x14ac:dyDescent="0.25">
      <c r="A340" s="29">
        <v>3710.1</v>
      </c>
      <c r="B340" s="30">
        <v>929.69</v>
      </c>
      <c r="D340" s="15">
        <v>3710.1</v>
      </c>
      <c r="E340" s="16">
        <v>929.69</v>
      </c>
    </row>
    <row r="341" spans="1:5" x14ac:dyDescent="0.25">
      <c r="A341" s="29">
        <v>3720.21</v>
      </c>
      <c r="B341" s="30">
        <v>-232.89</v>
      </c>
      <c r="D341" s="15">
        <v>3720.21</v>
      </c>
      <c r="E341" s="16">
        <v>-232.89</v>
      </c>
    </row>
    <row r="342" spans="1:5" x14ac:dyDescent="0.25">
      <c r="A342" s="29">
        <v>3738.26</v>
      </c>
      <c r="B342" s="30">
        <v>1093.76</v>
      </c>
      <c r="D342" s="15">
        <v>3738.26</v>
      </c>
      <c r="E342" s="16">
        <v>1093.76</v>
      </c>
    </row>
    <row r="343" spans="1:5" x14ac:dyDescent="0.25">
      <c r="A343" s="29">
        <v>3739.51</v>
      </c>
      <c r="B343" s="30">
        <v>1420.2</v>
      </c>
      <c r="D343" s="15">
        <v>3739.51</v>
      </c>
      <c r="E343" s="16">
        <v>1420.2</v>
      </c>
    </row>
    <row r="344" spans="1:5" x14ac:dyDescent="0.25">
      <c r="A344" s="29">
        <v>3754.37</v>
      </c>
      <c r="B344" s="30">
        <v>950.11</v>
      </c>
      <c r="D344" s="15">
        <v>3754.37</v>
      </c>
      <c r="E344" s="16">
        <v>950.11</v>
      </c>
    </row>
    <row r="345" spans="1:5" x14ac:dyDescent="0.25">
      <c r="A345" s="29">
        <v>3759.55</v>
      </c>
      <c r="B345" s="30">
        <v>959.31</v>
      </c>
      <c r="D345" s="15">
        <v>3759.55</v>
      </c>
      <c r="E345" s="16">
        <v>959.31</v>
      </c>
    </row>
    <row r="346" spans="1:5" x14ac:dyDescent="0.25">
      <c r="A346" s="29">
        <v>3807.1</v>
      </c>
      <c r="B346" s="30">
        <v>463.26</v>
      </c>
      <c r="D346" s="15">
        <v>3807.1</v>
      </c>
      <c r="E346" s="16">
        <v>463.26</v>
      </c>
    </row>
    <row r="347" spans="1:5" x14ac:dyDescent="0.25">
      <c r="A347" s="29">
        <v>3823.67</v>
      </c>
      <c r="B347" s="30">
        <v>-124.53</v>
      </c>
      <c r="D347" s="15">
        <v>3823.67</v>
      </c>
      <c r="E347" s="16">
        <v>-124.53</v>
      </c>
    </row>
    <row r="348" spans="1:5" x14ac:dyDescent="0.25">
      <c r="A348" s="29">
        <v>3845.8</v>
      </c>
      <c r="B348" s="30">
        <v>819.31</v>
      </c>
      <c r="D348" s="15">
        <v>3845.8</v>
      </c>
      <c r="E348" s="16">
        <v>819.31</v>
      </c>
    </row>
    <row r="349" spans="1:5" x14ac:dyDescent="0.25">
      <c r="A349" s="29">
        <v>3845.88</v>
      </c>
      <c r="B349" s="30">
        <v>716.39</v>
      </c>
      <c r="D349" s="15">
        <v>3845.88</v>
      </c>
      <c r="E349" s="16">
        <v>716.39</v>
      </c>
    </row>
    <row r="350" spans="1:5" x14ac:dyDescent="0.25">
      <c r="A350" s="29">
        <v>3868.14</v>
      </c>
      <c r="B350" s="30">
        <v>871.24</v>
      </c>
      <c r="D350" s="15">
        <v>3868.14</v>
      </c>
      <c r="E350" s="16">
        <v>871.24</v>
      </c>
    </row>
    <row r="351" spans="1:5" x14ac:dyDescent="0.25">
      <c r="A351" s="29">
        <v>3871.03</v>
      </c>
      <c r="B351" s="30">
        <v>-73.11</v>
      </c>
      <c r="D351" s="15">
        <v>3871.03</v>
      </c>
      <c r="E351" s="16">
        <v>-73.11</v>
      </c>
    </row>
    <row r="352" spans="1:5" x14ac:dyDescent="0.25">
      <c r="A352" s="29">
        <v>3892.43</v>
      </c>
      <c r="B352" s="30">
        <v>-56.75</v>
      </c>
      <c r="D352" s="15">
        <v>3892.43</v>
      </c>
      <c r="E352" s="16">
        <v>-56.75</v>
      </c>
    </row>
    <row r="353" spans="1:5" x14ac:dyDescent="0.25">
      <c r="A353" s="29">
        <v>3912.56</v>
      </c>
      <c r="B353" s="30">
        <v>901.52</v>
      </c>
      <c r="D353" s="15">
        <v>3912.56</v>
      </c>
      <c r="E353" s="16">
        <v>901.52</v>
      </c>
    </row>
    <row r="354" spans="1:5" x14ac:dyDescent="0.25">
      <c r="A354" s="29">
        <v>3914.87</v>
      </c>
      <c r="B354" s="30">
        <v>488.64</v>
      </c>
      <c r="D354" s="15">
        <v>3914.87</v>
      </c>
      <c r="E354" s="16">
        <v>488.64</v>
      </c>
    </row>
    <row r="355" spans="1:5" x14ac:dyDescent="0.25">
      <c r="A355" s="29">
        <v>3933.13</v>
      </c>
      <c r="B355" s="30">
        <v>-287.70999999999998</v>
      </c>
      <c r="D355" s="15">
        <v>3933.13</v>
      </c>
      <c r="E355" s="16">
        <v>-287.70999999999998</v>
      </c>
    </row>
    <row r="356" spans="1:5" x14ac:dyDescent="0.25">
      <c r="A356" s="29">
        <v>3947.55</v>
      </c>
      <c r="B356" s="30">
        <v>964.42</v>
      </c>
      <c r="D356" s="15">
        <v>3947.55</v>
      </c>
      <c r="E356" s="16">
        <v>964.42</v>
      </c>
    </row>
    <row r="357" spans="1:5" x14ac:dyDescent="0.25">
      <c r="A357" s="29">
        <v>3948.24</v>
      </c>
      <c r="B357" s="30">
        <v>-117.4</v>
      </c>
      <c r="D357" s="15">
        <v>3948.24</v>
      </c>
      <c r="E357" s="16">
        <v>-117.4</v>
      </c>
    </row>
    <row r="358" spans="1:5" x14ac:dyDescent="0.25">
      <c r="A358" s="29">
        <v>3983.35</v>
      </c>
      <c r="B358" s="30">
        <v>-167.66</v>
      </c>
      <c r="D358" s="15">
        <v>3983.35</v>
      </c>
      <c r="E358" s="16">
        <v>-167.66</v>
      </c>
    </row>
    <row r="359" spans="1:5" x14ac:dyDescent="0.25">
      <c r="A359" s="29">
        <v>3996.64</v>
      </c>
      <c r="B359" s="30">
        <v>-283.86</v>
      </c>
      <c r="D359" s="15">
        <v>3996.64</v>
      </c>
      <c r="E359" s="16">
        <v>-283.86</v>
      </c>
    </row>
    <row r="360" spans="1:5" x14ac:dyDescent="0.25">
      <c r="A360" s="29">
        <v>3999.96</v>
      </c>
      <c r="B360" s="30">
        <v>961.74</v>
      </c>
      <c r="D360" s="15">
        <v>3999.96</v>
      </c>
      <c r="E360" s="16">
        <v>961.74</v>
      </c>
    </row>
    <row r="361" spans="1:5" x14ac:dyDescent="0.25">
      <c r="A361" s="29">
        <v>4003.4</v>
      </c>
      <c r="B361" s="30">
        <v>1397.74</v>
      </c>
      <c r="D361" s="15">
        <v>4003.4</v>
      </c>
      <c r="E361" s="16">
        <v>1397.74</v>
      </c>
    </row>
    <row r="362" spans="1:5" x14ac:dyDescent="0.25">
      <c r="A362" s="29">
        <v>4020.94</v>
      </c>
      <c r="B362" s="30">
        <v>477.29</v>
      </c>
      <c r="D362" s="15">
        <v>4020.94</v>
      </c>
      <c r="E362" s="16">
        <v>477.29</v>
      </c>
    </row>
    <row r="363" spans="1:5" x14ac:dyDescent="0.25">
      <c r="A363" s="29">
        <v>4030.62</v>
      </c>
      <c r="B363" s="30">
        <v>-237.05</v>
      </c>
      <c r="D363" s="15">
        <v>4030.62</v>
      </c>
      <c r="E363" s="16">
        <v>-237.05</v>
      </c>
    </row>
    <row r="364" spans="1:5" x14ac:dyDescent="0.25">
      <c r="A364" s="29">
        <v>4046.47</v>
      </c>
      <c r="B364" s="30">
        <v>672.47</v>
      </c>
      <c r="D364" s="15">
        <v>4046.47</v>
      </c>
      <c r="E364" s="16">
        <v>672.47</v>
      </c>
    </row>
    <row r="365" spans="1:5" x14ac:dyDescent="0.25">
      <c r="A365" s="29">
        <v>4050.6</v>
      </c>
      <c r="B365" s="30">
        <v>1064.6600000000001</v>
      </c>
      <c r="D365" s="15">
        <v>4050.6</v>
      </c>
      <c r="E365" s="16">
        <v>1064.6600000000001</v>
      </c>
    </row>
    <row r="366" spans="1:5" x14ac:dyDescent="0.25">
      <c r="A366" s="29">
        <v>4055.28</v>
      </c>
      <c r="B366" s="30">
        <v>1285.74</v>
      </c>
      <c r="D366" s="15">
        <v>4055.28</v>
      </c>
      <c r="E366" s="16">
        <v>1285.74</v>
      </c>
    </row>
    <row r="367" spans="1:5" x14ac:dyDescent="0.25">
      <c r="A367" s="29">
        <v>4065.84</v>
      </c>
      <c r="B367" s="30">
        <v>304.37</v>
      </c>
      <c r="D367" s="15">
        <v>4065.84</v>
      </c>
      <c r="E367" s="16">
        <v>304.37</v>
      </c>
    </row>
    <row r="368" spans="1:5" x14ac:dyDescent="0.25">
      <c r="A368" s="29">
        <v>4088.28</v>
      </c>
      <c r="B368" s="30">
        <v>955.93</v>
      </c>
      <c r="D368" s="15">
        <v>4088.28</v>
      </c>
      <c r="E368" s="16">
        <v>955.93</v>
      </c>
    </row>
    <row r="369" spans="1:5" x14ac:dyDescent="0.25">
      <c r="A369" s="29">
        <v>4089.82</v>
      </c>
      <c r="B369" s="30">
        <v>669.19</v>
      </c>
      <c r="D369" s="15">
        <v>4089.82</v>
      </c>
      <c r="E369" s="16">
        <v>669.19</v>
      </c>
    </row>
    <row r="370" spans="1:5" x14ac:dyDescent="0.25">
      <c r="A370" s="29">
        <v>4105.67</v>
      </c>
      <c r="B370" s="30">
        <v>1336.06</v>
      </c>
      <c r="D370" s="15">
        <v>4105.67</v>
      </c>
      <c r="E370" s="16">
        <v>1336.06</v>
      </c>
    </row>
    <row r="371" spans="1:5" x14ac:dyDescent="0.25">
      <c r="A371" s="29">
        <v>4108.38</v>
      </c>
      <c r="B371" s="30">
        <v>830.63</v>
      </c>
      <c r="D371" s="15">
        <v>4108.38</v>
      </c>
      <c r="E371" s="16">
        <v>830.63</v>
      </c>
    </row>
    <row r="372" spans="1:5" x14ac:dyDescent="0.25">
      <c r="A372" s="29">
        <v>4112.04</v>
      </c>
      <c r="B372" s="30">
        <v>1472.13</v>
      </c>
      <c r="D372" s="15">
        <v>4112.04</v>
      </c>
      <c r="E372" s="16">
        <v>1472.13</v>
      </c>
    </row>
    <row r="373" spans="1:5" x14ac:dyDescent="0.25">
      <c r="A373" s="29">
        <v>4115.42</v>
      </c>
      <c r="B373" s="30">
        <v>71.92</v>
      </c>
      <c r="D373" s="15">
        <v>4115.42</v>
      </c>
      <c r="E373" s="16">
        <v>71.92</v>
      </c>
    </row>
    <row r="374" spans="1:5" x14ac:dyDescent="0.25">
      <c r="A374" s="29">
        <v>4124.9399999999996</v>
      </c>
      <c r="B374" s="30">
        <v>1323.47</v>
      </c>
      <c r="D374" s="15">
        <v>4124.9399999999996</v>
      </c>
      <c r="E374" s="16">
        <v>1323.47</v>
      </c>
    </row>
    <row r="375" spans="1:5" x14ac:dyDescent="0.25">
      <c r="A375" s="29">
        <v>4131.58</v>
      </c>
      <c r="B375" s="30">
        <v>-155.88</v>
      </c>
      <c r="D375" s="15">
        <v>4131.58</v>
      </c>
      <c r="E375" s="16">
        <v>-155.88</v>
      </c>
    </row>
    <row r="376" spans="1:5" x14ac:dyDescent="0.25">
      <c r="A376" s="29">
        <v>4147.01</v>
      </c>
      <c r="B376" s="30">
        <v>1329.64</v>
      </c>
      <c r="D376" s="15">
        <v>4147.01</v>
      </c>
      <c r="E376" s="16">
        <v>1329.64</v>
      </c>
    </row>
    <row r="377" spans="1:5" x14ac:dyDescent="0.25">
      <c r="A377" s="29">
        <v>4150.29</v>
      </c>
      <c r="B377" s="30">
        <v>1479.39</v>
      </c>
      <c r="D377" s="15">
        <v>4150.29</v>
      </c>
      <c r="E377" s="16">
        <v>1479.39</v>
      </c>
    </row>
    <row r="378" spans="1:5" x14ac:dyDescent="0.25">
      <c r="A378" s="29">
        <v>4153.82</v>
      </c>
      <c r="B378" s="30">
        <v>800.53</v>
      </c>
      <c r="D378" s="15">
        <v>4153.82</v>
      </c>
      <c r="E378" s="16">
        <v>800.53</v>
      </c>
    </row>
    <row r="379" spans="1:5" x14ac:dyDescent="0.25">
      <c r="A379" s="29">
        <v>4185.5600000000004</v>
      </c>
      <c r="B379" s="30">
        <v>1060.82</v>
      </c>
      <c r="D379" s="15">
        <v>4185.5600000000004</v>
      </c>
      <c r="E379" s="16">
        <v>1060.82</v>
      </c>
    </row>
    <row r="380" spans="1:5" x14ac:dyDescent="0.25">
      <c r="A380" s="29">
        <v>4199.55</v>
      </c>
      <c r="B380" s="30">
        <v>794.25</v>
      </c>
      <c r="D380" s="15">
        <v>4199.55</v>
      </c>
      <c r="E380" s="16">
        <v>794.25</v>
      </c>
    </row>
    <row r="381" spans="1:5" x14ac:dyDescent="0.25">
      <c r="A381" s="29">
        <v>4208.99</v>
      </c>
      <c r="B381" s="30">
        <v>315.27999999999997</v>
      </c>
      <c r="D381" s="15">
        <v>4208.99</v>
      </c>
      <c r="E381" s="16">
        <v>315.27999999999997</v>
      </c>
    </row>
    <row r="382" spans="1:5" x14ac:dyDescent="0.25">
      <c r="A382" s="29">
        <v>4241.3100000000004</v>
      </c>
      <c r="B382" s="30">
        <v>1072.27</v>
      </c>
      <c r="D382" s="15">
        <v>4241.3100000000004</v>
      </c>
      <c r="E382" s="16">
        <v>1072.27</v>
      </c>
    </row>
    <row r="383" spans="1:5" x14ac:dyDescent="0.25">
      <c r="A383" s="29">
        <v>4277.74</v>
      </c>
      <c r="B383" s="30">
        <v>-9</v>
      </c>
      <c r="D383" s="15">
        <v>4277.74</v>
      </c>
      <c r="E383" s="16">
        <v>-9</v>
      </c>
    </row>
    <row r="384" spans="1:5" x14ac:dyDescent="0.25">
      <c r="A384" s="29">
        <v>4292.24</v>
      </c>
      <c r="B384" s="30">
        <v>910.62</v>
      </c>
      <c r="D384" s="15">
        <v>4292.24</v>
      </c>
      <c r="E384" s="16">
        <v>910.62</v>
      </c>
    </row>
    <row r="385" spans="1:5" x14ac:dyDescent="0.25">
      <c r="A385" s="29">
        <v>4299.41</v>
      </c>
      <c r="B385" s="30">
        <v>282.02</v>
      </c>
      <c r="D385" s="15">
        <v>4299.41</v>
      </c>
      <c r="E385" s="16">
        <v>282.02</v>
      </c>
    </row>
    <row r="386" spans="1:5" x14ac:dyDescent="0.25">
      <c r="A386" s="29">
        <v>4347.99</v>
      </c>
      <c r="B386" s="30">
        <v>182.08</v>
      </c>
      <c r="D386" s="15">
        <v>4347.99</v>
      </c>
      <c r="E386" s="16">
        <v>182.08</v>
      </c>
    </row>
    <row r="387" spans="1:5" x14ac:dyDescent="0.25">
      <c r="A387" s="29">
        <v>4371.2299999999996</v>
      </c>
      <c r="B387" s="30">
        <v>1267.23</v>
      </c>
      <c r="D387" s="15">
        <v>4371.2299999999996</v>
      </c>
      <c r="E387" s="16">
        <v>1267.23</v>
      </c>
    </row>
    <row r="388" spans="1:5" x14ac:dyDescent="0.25">
      <c r="A388" s="29">
        <v>4378.62</v>
      </c>
      <c r="B388" s="30">
        <v>82.8</v>
      </c>
      <c r="D388" s="15">
        <v>4378.62</v>
      </c>
      <c r="E388" s="16">
        <v>82.8</v>
      </c>
    </row>
    <row r="389" spans="1:5" x14ac:dyDescent="0.25">
      <c r="A389" s="29">
        <v>4389.95</v>
      </c>
      <c r="B389" s="30">
        <v>67.06</v>
      </c>
      <c r="D389" s="15">
        <v>4389.95</v>
      </c>
      <c r="E389" s="16">
        <v>67.06</v>
      </c>
    </row>
    <row r="390" spans="1:5" x14ac:dyDescent="0.25">
      <c r="A390" s="29">
        <v>4408.01</v>
      </c>
      <c r="B390" s="30">
        <v>624.63</v>
      </c>
      <c r="D390" s="15">
        <v>4408.01</v>
      </c>
      <c r="E390" s="16">
        <v>624.63</v>
      </c>
    </row>
    <row r="391" spans="1:5" x14ac:dyDescent="0.25">
      <c r="A391" s="29">
        <v>4420.87</v>
      </c>
      <c r="B391" s="30">
        <v>-94.12</v>
      </c>
      <c r="D391" s="15">
        <v>4420.87</v>
      </c>
      <c r="E391" s="16">
        <v>-94.12</v>
      </c>
    </row>
    <row r="392" spans="1:5" x14ac:dyDescent="0.25">
      <c r="A392" s="29">
        <v>4437.1899999999996</v>
      </c>
      <c r="B392" s="30">
        <v>1248.95</v>
      </c>
      <c r="D392" s="15">
        <v>4437.1899999999996</v>
      </c>
      <c r="E392" s="16">
        <v>1248.95</v>
      </c>
    </row>
    <row r="393" spans="1:5" x14ac:dyDescent="0.25">
      <c r="A393" s="29">
        <v>4437.6400000000003</v>
      </c>
      <c r="B393" s="30">
        <v>1168.52</v>
      </c>
      <c r="D393" s="15">
        <v>4437.6400000000003</v>
      </c>
      <c r="E393" s="16">
        <v>1168.52</v>
      </c>
    </row>
    <row r="394" spans="1:5" x14ac:dyDescent="0.25">
      <c r="A394" s="29">
        <v>4441.21</v>
      </c>
      <c r="B394" s="30">
        <v>-36.68</v>
      </c>
      <c r="D394" s="15">
        <v>4441.21</v>
      </c>
      <c r="E394" s="16">
        <v>-36.68</v>
      </c>
    </row>
    <row r="395" spans="1:5" x14ac:dyDescent="0.25">
      <c r="A395" s="29">
        <v>4479.21</v>
      </c>
      <c r="B395" s="30">
        <v>700.69</v>
      </c>
      <c r="D395" s="15">
        <v>4479.21</v>
      </c>
      <c r="E395" s="16">
        <v>700.69</v>
      </c>
    </row>
    <row r="396" spans="1:5" x14ac:dyDescent="0.25">
      <c r="A396" s="29">
        <v>4563.37</v>
      </c>
      <c r="B396" s="30">
        <v>15.32</v>
      </c>
      <c r="D396" s="15">
        <v>4563.37</v>
      </c>
      <c r="E396" s="16">
        <v>15.32</v>
      </c>
    </row>
    <row r="397" spans="1:5" x14ac:dyDescent="0.25">
      <c r="A397" s="29">
        <v>4573.6000000000004</v>
      </c>
      <c r="B397" s="30">
        <v>1081.6400000000001</v>
      </c>
      <c r="D397" s="15">
        <v>4573.6000000000004</v>
      </c>
      <c r="E397" s="16">
        <v>1081.6400000000001</v>
      </c>
    </row>
    <row r="398" spans="1:5" x14ac:dyDescent="0.25">
      <c r="A398" s="29">
        <v>4589.1499999999996</v>
      </c>
      <c r="B398" s="30">
        <v>-179.92</v>
      </c>
      <c r="D398" s="15">
        <v>4589.1499999999996</v>
      </c>
      <c r="E398" s="16">
        <v>-179.92</v>
      </c>
    </row>
    <row r="399" spans="1:5" x14ac:dyDescent="0.25">
      <c r="A399" s="29">
        <v>4619.41</v>
      </c>
      <c r="B399" s="30">
        <v>952.68</v>
      </c>
      <c r="D399" s="15">
        <v>4619.41</v>
      </c>
      <c r="E399" s="16">
        <v>952.68</v>
      </c>
    </row>
    <row r="400" spans="1:5" x14ac:dyDescent="0.25">
      <c r="A400" s="29">
        <v>4627.17</v>
      </c>
      <c r="B400" s="30">
        <v>-199.78</v>
      </c>
      <c r="D400" s="15">
        <v>4627.17</v>
      </c>
      <c r="E400" s="16">
        <v>-199.78</v>
      </c>
    </row>
    <row r="401" spans="1:5" x14ac:dyDescent="0.25">
      <c r="A401" s="29">
        <v>4664.3599999999997</v>
      </c>
      <c r="B401" s="30">
        <v>676.07</v>
      </c>
      <c r="D401" s="15">
        <v>4664.3599999999997</v>
      </c>
      <c r="E401" s="16">
        <v>676.07</v>
      </c>
    </row>
    <row r="402" spans="1:5" x14ac:dyDescent="0.25">
      <c r="A402" s="29">
        <v>4669.25</v>
      </c>
      <c r="B402" s="30">
        <v>-171.26</v>
      </c>
      <c r="D402" s="15">
        <v>4669.25</v>
      </c>
      <c r="E402" s="16">
        <v>-171.26</v>
      </c>
    </row>
    <row r="403" spans="1:5" x14ac:dyDescent="0.25">
      <c r="A403" s="29">
        <v>4672.9799999999996</v>
      </c>
      <c r="B403" s="30">
        <v>724.14</v>
      </c>
      <c r="D403" s="15">
        <v>4672.9799999999996</v>
      </c>
      <c r="E403" s="16">
        <v>724.14</v>
      </c>
    </row>
    <row r="404" spans="1:5" x14ac:dyDescent="0.25">
      <c r="A404" s="29">
        <v>4682.07</v>
      </c>
      <c r="B404" s="30">
        <v>284.56</v>
      </c>
      <c r="D404" s="15">
        <v>4682.07</v>
      </c>
      <c r="E404" s="16">
        <v>284.56</v>
      </c>
    </row>
    <row r="405" spans="1:5" x14ac:dyDescent="0.25">
      <c r="A405" s="29">
        <v>4691.76</v>
      </c>
      <c r="B405" s="30">
        <v>1104.72</v>
      </c>
      <c r="D405" s="15">
        <v>4691.76</v>
      </c>
      <c r="E405" s="16">
        <v>1104.72</v>
      </c>
    </row>
    <row r="406" spans="1:5" x14ac:dyDescent="0.25">
      <c r="A406" s="29">
        <v>4692.04</v>
      </c>
      <c r="B406" s="30">
        <v>1243.4100000000001</v>
      </c>
      <c r="D406" s="15">
        <v>4692.04</v>
      </c>
      <c r="E406" s="16">
        <v>1243.4100000000001</v>
      </c>
    </row>
    <row r="407" spans="1:5" x14ac:dyDescent="0.25">
      <c r="A407" s="29">
        <v>4698.3900000000003</v>
      </c>
      <c r="B407" s="30">
        <v>149.08000000000001</v>
      </c>
      <c r="D407" s="15">
        <v>4698.3900000000003</v>
      </c>
      <c r="E407" s="16">
        <v>149.08000000000001</v>
      </c>
    </row>
    <row r="408" spans="1:5" x14ac:dyDescent="0.25">
      <c r="A408" s="29">
        <v>4761.1000000000004</v>
      </c>
      <c r="B408" s="30">
        <v>528.9</v>
      </c>
      <c r="D408" s="15">
        <v>4761.1000000000004</v>
      </c>
      <c r="E408" s="16">
        <v>528.9</v>
      </c>
    </row>
    <row r="409" spans="1:5" x14ac:dyDescent="0.25">
      <c r="A409" s="29">
        <v>4804.46</v>
      </c>
      <c r="B409" s="30">
        <v>1428.06</v>
      </c>
      <c r="D409" s="15">
        <v>4804.46</v>
      </c>
      <c r="E409" s="16">
        <v>1428.06</v>
      </c>
    </row>
    <row r="410" spans="1:5" x14ac:dyDescent="0.25">
      <c r="A410" s="29">
        <v>4860.7299999999996</v>
      </c>
      <c r="B410" s="30">
        <v>656.01</v>
      </c>
      <c r="D410" s="15">
        <v>4860.7299999999996</v>
      </c>
      <c r="E410" s="16">
        <v>656.01</v>
      </c>
    </row>
    <row r="411" spans="1:5" x14ac:dyDescent="0.25">
      <c r="A411" s="29">
        <v>4873.53</v>
      </c>
      <c r="B411" s="30">
        <v>6.15</v>
      </c>
      <c r="D411" s="15">
        <v>4873.53</v>
      </c>
      <c r="E411" s="16">
        <v>6.15</v>
      </c>
    </row>
    <row r="412" spans="1:5" x14ac:dyDescent="0.25">
      <c r="A412" s="29">
        <v>4874.84</v>
      </c>
      <c r="B412" s="30">
        <v>1062.71</v>
      </c>
      <c r="D412" s="15">
        <v>4874.84</v>
      </c>
      <c r="E412" s="16">
        <v>1062.71</v>
      </c>
    </row>
    <row r="413" spans="1:5" x14ac:dyDescent="0.25">
      <c r="A413" s="29">
        <v>4921.09</v>
      </c>
      <c r="B413" s="30">
        <v>139.83000000000001</v>
      </c>
      <c r="D413" s="15">
        <v>4921.09</v>
      </c>
      <c r="E413" s="16">
        <v>139.83000000000001</v>
      </c>
    </row>
    <row r="414" spans="1:5" x14ac:dyDescent="0.25">
      <c r="A414" s="29">
        <v>4937.51</v>
      </c>
      <c r="B414" s="30">
        <v>1001.89</v>
      </c>
      <c r="D414" s="15">
        <v>4937.51</v>
      </c>
      <c r="E414" s="16">
        <v>1001.89</v>
      </c>
    </row>
    <row r="415" spans="1:5" x14ac:dyDescent="0.25">
      <c r="A415" s="29">
        <v>4949.51</v>
      </c>
      <c r="B415" s="30">
        <v>1177.3</v>
      </c>
      <c r="D415" s="15">
        <v>4949.51</v>
      </c>
      <c r="E415" s="16">
        <v>1177.3</v>
      </c>
    </row>
    <row r="416" spans="1:5" x14ac:dyDescent="0.25">
      <c r="A416" s="29">
        <v>4962.7299999999996</v>
      </c>
      <c r="B416" s="30">
        <v>1448.42</v>
      </c>
      <c r="D416" s="15">
        <v>4962.7299999999996</v>
      </c>
      <c r="E416" s="16">
        <v>1448.42</v>
      </c>
    </row>
    <row r="417" spans="1:5" x14ac:dyDescent="0.25">
      <c r="A417" s="29">
        <v>4967.83</v>
      </c>
      <c r="B417" s="30">
        <v>652.41999999999996</v>
      </c>
      <c r="D417" s="15">
        <v>4967.83</v>
      </c>
      <c r="E417" s="16">
        <v>652.41999999999996</v>
      </c>
    </row>
    <row r="418" spans="1:5" x14ac:dyDescent="0.25">
      <c r="A418" s="29">
        <v>4998.6899999999996</v>
      </c>
      <c r="B418" s="30">
        <v>1247.1400000000001</v>
      </c>
      <c r="D418" s="15">
        <v>4998.6899999999996</v>
      </c>
      <c r="E418" s="16">
        <v>1247.1400000000001</v>
      </c>
    </row>
    <row r="419" spans="1:5" x14ac:dyDescent="0.25">
      <c r="A419" s="31" t="s">
        <v>351</v>
      </c>
      <c r="B419" s="32">
        <v>172892.0800000001</v>
      </c>
      <c r="D419" s="24" t="s">
        <v>351</v>
      </c>
      <c r="E419" s="25">
        <v>172892.0800000001</v>
      </c>
    </row>
  </sheetData>
  <pageMargins left="0.7" right="0.7" top="0.75" bottom="0.75" header="0.3" footer="0.3"/>
  <pageSetup orientation="portrait" r:id="rId10"/>
  <drawing r:id="rId1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"/>
  <sheetViews>
    <sheetView workbookViewId="0">
      <selection activeCell="B10" sqref="B10"/>
    </sheetView>
  </sheetViews>
  <sheetFormatPr defaultColWidth="14.42578125" defaultRowHeight="15" customHeight="1" x14ac:dyDescent="0.25"/>
  <cols>
    <col min="1" max="1" width="17.5703125" customWidth="1"/>
    <col min="2" max="2" width="22.5703125" customWidth="1"/>
    <col min="3" max="3" width="17.140625" customWidth="1"/>
    <col min="4" max="4" width="22.28515625" customWidth="1"/>
    <col min="5" max="5" width="18.85546875" customWidth="1"/>
    <col min="6" max="6" width="19" customWidth="1"/>
    <col min="7" max="7" width="15.5703125" customWidth="1"/>
    <col min="8" max="8" width="15.28515625" customWidth="1"/>
    <col min="9" max="9" width="14" customWidth="1"/>
    <col min="10" max="10" width="16.42578125" customWidth="1"/>
    <col min="11" max="26" width="8.7109375" customWidth="1"/>
  </cols>
  <sheetData>
    <row r="1" spans="1:10" ht="24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10</v>
      </c>
      <c r="B2" s="3">
        <v>44958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>
        <v>3571.89</v>
      </c>
      <c r="I2" s="2">
        <v>38</v>
      </c>
      <c r="J2" s="2">
        <v>-69.33</v>
      </c>
    </row>
    <row r="3" spans="1:10" x14ac:dyDescent="0.25">
      <c r="A3" s="2" t="s">
        <v>16</v>
      </c>
      <c r="B3" s="3">
        <v>44959</v>
      </c>
      <c r="C3" s="2" t="s">
        <v>17</v>
      </c>
      <c r="D3" s="2" t="s">
        <v>12</v>
      </c>
      <c r="E3" s="2" t="s">
        <v>18</v>
      </c>
      <c r="F3" s="2" t="s">
        <v>19</v>
      </c>
      <c r="G3" s="2" t="s">
        <v>20</v>
      </c>
      <c r="H3" s="2">
        <v>408.75</v>
      </c>
      <c r="I3" s="2">
        <v>39</v>
      </c>
      <c r="J3" s="2">
        <v>147.11000000000001</v>
      </c>
    </row>
    <row r="4" spans="1:10" x14ac:dyDescent="0.25">
      <c r="A4" s="2" t="s">
        <v>21</v>
      </c>
      <c r="B4" s="3">
        <v>44960</v>
      </c>
      <c r="C4" s="2" t="s">
        <v>11</v>
      </c>
      <c r="D4" s="2" t="s">
        <v>22</v>
      </c>
      <c r="E4" s="2" t="s">
        <v>23</v>
      </c>
      <c r="F4" s="2" t="s">
        <v>24</v>
      </c>
      <c r="G4" s="2" t="s">
        <v>25</v>
      </c>
      <c r="H4" s="2">
        <v>382.77</v>
      </c>
      <c r="I4" s="2">
        <v>37</v>
      </c>
      <c r="J4" s="2">
        <v>454.86</v>
      </c>
    </row>
    <row r="5" spans="1:10" x14ac:dyDescent="0.25">
      <c r="A5" s="2" t="s">
        <v>26</v>
      </c>
      <c r="B5" s="3">
        <v>44961</v>
      </c>
      <c r="C5" s="2" t="s">
        <v>27</v>
      </c>
      <c r="D5" s="2" t="s">
        <v>28</v>
      </c>
      <c r="E5" s="2" t="s">
        <v>29</v>
      </c>
      <c r="F5" s="2" t="s">
        <v>19</v>
      </c>
      <c r="G5" s="2" t="s">
        <v>15</v>
      </c>
      <c r="H5" s="2">
        <v>4669.25</v>
      </c>
      <c r="I5" s="2">
        <v>22</v>
      </c>
      <c r="J5" s="2">
        <v>-171.26</v>
      </c>
    </row>
    <row r="6" spans="1:10" x14ac:dyDescent="0.25">
      <c r="A6" s="2" t="s">
        <v>30</v>
      </c>
      <c r="B6" s="3">
        <v>44962</v>
      </c>
      <c r="C6" s="2" t="s">
        <v>27</v>
      </c>
      <c r="D6" s="2" t="s">
        <v>31</v>
      </c>
      <c r="E6" s="2" t="s">
        <v>18</v>
      </c>
      <c r="F6" s="2" t="s">
        <v>32</v>
      </c>
      <c r="G6" s="2" t="s">
        <v>33</v>
      </c>
      <c r="H6" s="2">
        <v>4050.6</v>
      </c>
      <c r="I6" s="2">
        <v>34</v>
      </c>
      <c r="J6" s="2">
        <v>1064.6600000000001</v>
      </c>
    </row>
    <row r="7" spans="1:10" x14ac:dyDescent="0.25">
      <c r="A7" s="2" t="s">
        <v>34</v>
      </c>
      <c r="B7" s="3">
        <v>44963</v>
      </c>
      <c r="C7" s="2" t="s">
        <v>27</v>
      </c>
      <c r="D7" s="2" t="s">
        <v>28</v>
      </c>
      <c r="E7" s="2" t="s">
        <v>23</v>
      </c>
      <c r="F7" s="2" t="s">
        <v>14</v>
      </c>
      <c r="G7" s="2" t="s">
        <v>35</v>
      </c>
      <c r="H7" s="2">
        <v>1343.04</v>
      </c>
      <c r="I7" s="2">
        <v>24</v>
      </c>
      <c r="J7" s="2">
        <v>1082.71</v>
      </c>
    </row>
    <row r="8" spans="1:10" x14ac:dyDescent="0.25">
      <c r="A8" s="2" t="s">
        <v>36</v>
      </c>
      <c r="B8" s="3">
        <v>44964</v>
      </c>
      <c r="C8" s="2" t="s">
        <v>27</v>
      </c>
      <c r="D8" s="2" t="s">
        <v>12</v>
      </c>
      <c r="E8" s="2" t="s">
        <v>29</v>
      </c>
      <c r="F8" s="2" t="s">
        <v>24</v>
      </c>
      <c r="G8" s="2" t="s">
        <v>35</v>
      </c>
      <c r="H8" s="2">
        <v>1774.37</v>
      </c>
      <c r="I8" s="2">
        <v>6</v>
      </c>
      <c r="J8" s="2">
        <v>226.36</v>
      </c>
    </row>
    <row r="9" spans="1:10" x14ac:dyDescent="0.25">
      <c r="A9" s="2" t="s">
        <v>37</v>
      </c>
      <c r="B9" s="3">
        <v>44965</v>
      </c>
      <c r="C9" s="2" t="s">
        <v>11</v>
      </c>
      <c r="D9" s="2" t="s">
        <v>22</v>
      </c>
      <c r="E9" s="2" t="s">
        <v>38</v>
      </c>
      <c r="F9" s="2" t="s">
        <v>19</v>
      </c>
      <c r="G9" s="2" t="s">
        <v>15</v>
      </c>
      <c r="H9" s="2">
        <v>4147.01</v>
      </c>
      <c r="I9" s="2">
        <v>20</v>
      </c>
      <c r="J9" s="2">
        <v>1329.64</v>
      </c>
    </row>
    <row r="10" spans="1:10" x14ac:dyDescent="0.25">
      <c r="A10" s="2" t="s">
        <v>39</v>
      </c>
      <c r="B10" s="3">
        <v>44966</v>
      </c>
      <c r="C10" s="2" t="s">
        <v>40</v>
      </c>
      <c r="D10" s="2" t="s">
        <v>31</v>
      </c>
      <c r="E10" s="2" t="s">
        <v>18</v>
      </c>
      <c r="F10" s="2" t="s">
        <v>41</v>
      </c>
      <c r="G10" s="2" t="s">
        <v>15</v>
      </c>
      <c r="H10" s="2">
        <v>3134.25</v>
      </c>
      <c r="I10" s="2">
        <v>41</v>
      </c>
      <c r="J10" s="2">
        <v>694.47</v>
      </c>
    </row>
    <row r="11" spans="1:10" x14ac:dyDescent="0.25">
      <c r="A11" s="2" t="s">
        <v>42</v>
      </c>
      <c r="B11" s="3">
        <v>44967</v>
      </c>
      <c r="C11" s="2" t="s">
        <v>11</v>
      </c>
      <c r="D11" s="2" t="s">
        <v>31</v>
      </c>
      <c r="E11" s="2" t="s">
        <v>23</v>
      </c>
      <c r="F11" s="2" t="s">
        <v>43</v>
      </c>
      <c r="G11" s="2" t="s">
        <v>15</v>
      </c>
      <c r="H11" s="2">
        <v>1398.1</v>
      </c>
      <c r="I11" s="2">
        <v>3</v>
      </c>
      <c r="J11" s="2">
        <v>102.5</v>
      </c>
    </row>
    <row r="12" spans="1:10" x14ac:dyDescent="0.25">
      <c r="A12" s="2" t="s">
        <v>44</v>
      </c>
      <c r="B12" s="3">
        <v>44968</v>
      </c>
      <c r="C12" s="2" t="s">
        <v>11</v>
      </c>
      <c r="D12" s="2" t="s">
        <v>12</v>
      </c>
      <c r="E12" s="2" t="s">
        <v>23</v>
      </c>
      <c r="F12" s="2" t="s">
        <v>24</v>
      </c>
      <c r="G12" s="2" t="s">
        <v>20</v>
      </c>
      <c r="H12" s="2">
        <v>2300.19</v>
      </c>
      <c r="I12" s="2">
        <v>27</v>
      </c>
      <c r="J12" s="2">
        <v>818.69</v>
      </c>
    </row>
    <row r="13" spans="1:10" x14ac:dyDescent="0.25">
      <c r="A13" s="2" t="s">
        <v>45</v>
      </c>
      <c r="B13" s="3">
        <v>44969</v>
      </c>
      <c r="C13" s="2" t="s">
        <v>40</v>
      </c>
      <c r="D13" s="2" t="s">
        <v>28</v>
      </c>
      <c r="E13" s="2" t="s">
        <v>13</v>
      </c>
      <c r="F13" s="2" t="s">
        <v>24</v>
      </c>
      <c r="G13" s="2" t="s">
        <v>35</v>
      </c>
      <c r="H13" s="2">
        <v>4292.24</v>
      </c>
      <c r="I13" s="2">
        <v>6</v>
      </c>
      <c r="J13" s="2">
        <v>910.62</v>
      </c>
    </row>
    <row r="14" spans="1:10" x14ac:dyDescent="0.25">
      <c r="A14" s="2" t="s">
        <v>46</v>
      </c>
      <c r="B14" s="3">
        <v>44970</v>
      </c>
      <c r="C14" s="2" t="s">
        <v>40</v>
      </c>
      <c r="D14" s="2" t="s">
        <v>47</v>
      </c>
      <c r="E14" s="2" t="s">
        <v>29</v>
      </c>
      <c r="F14" s="2" t="s">
        <v>41</v>
      </c>
      <c r="G14" s="2" t="s">
        <v>20</v>
      </c>
      <c r="H14" s="2">
        <v>103.39</v>
      </c>
      <c r="I14" s="2">
        <v>12</v>
      </c>
      <c r="J14" s="2">
        <v>991.59</v>
      </c>
    </row>
    <row r="15" spans="1:10" x14ac:dyDescent="0.25">
      <c r="A15" s="2" t="s">
        <v>48</v>
      </c>
      <c r="B15" s="3">
        <v>44971</v>
      </c>
      <c r="C15" s="2" t="s">
        <v>27</v>
      </c>
      <c r="D15" s="2" t="s">
        <v>31</v>
      </c>
      <c r="E15" s="2" t="s">
        <v>38</v>
      </c>
      <c r="F15" s="2" t="s">
        <v>32</v>
      </c>
      <c r="G15" s="2" t="s">
        <v>15</v>
      </c>
      <c r="H15" s="2">
        <v>4962.7299999999996</v>
      </c>
      <c r="I15" s="2">
        <v>48</v>
      </c>
      <c r="J15" s="2">
        <v>1448.42</v>
      </c>
    </row>
    <row r="16" spans="1:10" x14ac:dyDescent="0.25">
      <c r="A16" s="2" t="s">
        <v>49</v>
      </c>
      <c r="B16" s="3">
        <v>44972</v>
      </c>
      <c r="C16" s="2" t="s">
        <v>17</v>
      </c>
      <c r="D16" s="2" t="s">
        <v>28</v>
      </c>
      <c r="E16" s="2" t="s">
        <v>23</v>
      </c>
      <c r="F16" s="2" t="s">
        <v>50</v>
      </c>
      <c r="G16" s="2" t="s">
        <v>20</v>
      </c>
      <c r="H16" s="2">
        <v>2873.07</v>
      </c>
      <c r="I16" s="2">
        <v>39</v>
      </c>
      <c r="J16" s="2">
        <v>1344.56</v>
      </c>
    </row>
    <row r="17" spans="1:10" x14ac:dyDescent="0.25">
      <c r="A17" s="2" t="s">
        <v>51</v>
      </c>
      <c r="B17" s="3">
        <v>44973</v>
      </c>
      <c r="C17" s="2" t="s">
        <v>27</v>
      </c>
      <c r="D17" s="2" t="s">
        <v>31</v>
      </c>
      <c r="E17" s="2" t="s">
        <v>13</v>
      </c>
      <c r="F17" s="2" t="s">
        <v>14</v>
      </c>
      <c r="G17" s="2" t="s">
        <v>33</v>
      </c>
      <c r="H17" s="2">
        <v>991.9</v>
      </c>
      <c r="I17" s="2">
        <v>34</v>
      </c>
      <c r="J17" s="2">
        <v>443.9</v>
      </c>
    </row>
    <row r="18" spans="1:10" x14ac:dyDescent="0.25">
      <c r="A18" s="2" t="s">
        <v>52</v>
      </c>
      <c r="B18" s="3">
        <v>44974</v>
      </c>
      <c r="C18" s="2" t="s">
        <v>40</v>
      </c>
      <c r="D18" s="2" t="s">
        <v>22</v>
      </c>
      <c r="E18" s="2" t="s">
        <v>23</v>
      </c>
      <c r="F18" s="2" t="s">
        <v>14</v>
      </c>
      <c r="G18" s="2" t="s">
        <v>35</v>
      </c>
      <c r="H18" s="2">
        <v>4020.94</v>
      </c>
      <c r="I18" s="2">
        <v>47</v>
      </c>
      <c r="J18" s="2">
        <v>477.29</v>
      </c>
    </row>
    <row r="19" spans="1:10" x14ac:dyDescent="0.25">
      <c r="A19" s="2" t="s">
        <v>53</v>
      </c>
      <c r="B19" s="3">
        <v>44975</v>
      </c>
      <c r="C19" s="2" t="s">
        <v>40</v>
      </c>
      <c r="D19" s="2" t="s">
        <v>28</v>
      </c>
      <c r="E19" s="2" t="s">
        <v>38</v>
      </c>
      <c r="F19" s="2" t="s">
        <v>43</v>
      </c>
      <c r="G19" s="2" t="s">
        <v>35</v>
      </c>
      <c r="H19" s="2">
        <v>473.36</v>
      </c>
      <c r="I19" s="2">
        <v>21</v>
      </c>
      <c r="J19" s="2">
        <v>-257.79000000000002</v>
      </c>
    </row>
    <row r="20" spans="1:10" x14ac:dyDescent="0.25">
      <c r="A20" s="2" t="s">
        <v>54</v>
      </c>
      <c r="B20" s="3">
        <v>44976</v>
      </c>
      <c r="C20" s="2" t="s">
        <v>17</v>
      </c>
      <c r="D20" s="2" t="s">
        <v>28</v>
      </c>
      <c r="E20" s="2" t="s">
        <v>29</v>
      </c>
      <c r="F20" s="2" t="s">
        <v>43</v>
      </c>
      <c r="G20" s="2" t="s">
        <v>25</v>
      </c>
      <c r="H20" s="2">
        <v>2109</v>
      </c>
      <c r="I20" s="2">
        <v>4</v>
      </c>
      <c r="J20" s="2">
        <v>451.5</v>
      </c>
    </row>
    <row r="21" spans="1:10" ht="15.75" customHeight="1" x14ac:dyDescent="0.25">
      <c r="A21" s="2" t="s">
        <v>55</v>
      </c>
      <c r="B21" s="3">
        <v>44977</v>
      </c>
      <c r="C21" s="2" t="s">
        <v>40</v>
      </c>
      <c r="D21" s="2" t="s">
        <v>47</v>
      </c>
      <c r="E21" s="2" t="s">
        <v>29</v>
      </c>
      <c r="F21" s="2" t="s">
        <v>14</v>
      </c>
      <c r="G21" s="2" t="s">
        <v>25</v>
      </c>
      <c r="H21" s="2">
        <v>2908.35</v>
      </c>
      <c r="I21" s="2">
        <v>5</v>
      </c>
      <c r="J21" s="2">
        <v>18.87</v>
      </c>
    </row>
    <row r="22" spans="1:10" ht="15.75" customHeight="1" x14ac:dyDescent="0.25">
      <c r="A22" s="2" t="s">
        <v>56</v>
      </c>
      <c r="B22" s="3">
        <v>44978</v>
      </c>
      <c r="C22" s="2" t="s">
        <v>27</v>
      </c>
      <c r="D22" s="2" t="s">
        <v>31</v>
      </c>
      <c r="E22" s="2" t="s">
        <v>18</v>
      </c>
      <c r="F22" s="2" t="s">
        <v>50</v>
      </c>
      <c r="G22" s="2" t="s">
        <v>20</v>
      </c>
      <c r="H22" s="2">
        <v>1311.25</v>
      </c>
      <c r="I22" s="2">
        <v>7</v>
      </c>
      <c r="J22" s="2">
        <v>-83.7</v>
      </c>
    </row>
    <row r="23" spans="1:10" ht="15.75" customHeight="1" x14ac:dyDescent="0.25">
      <c r="A23" s="2" t="s">
        <v>57</v>
      </c>
      <c r="B23" s="3">
        <v>44979</v>
      </c>
      <c r="C23" s="2" t="s">
        <v>27</v>
      </c>
      <c r="D23" s="2" t="s">
        <v>28</v>
      </c>
      <c r="E23" s="2" t="s">
        <v>18</v>
      </c>
      <c r="F23" s="2" t="s">
        <v>50</v>
      </c>
      <c r="G23" s="2" t="s">
        <v>25</v>
      </c>
      <c r="H23" s="2">
        <v>4437.6400000000003</v>
      </c>
      <c r="I23" s="2">
        <v>24</v>
      </c>
      <c r="J23" s="2">
        <v>1168.52</v>
      </c>
    </row>
    <row r="24" spans="1:10" ht="15.75" customHeight="1" x14ac:dyDescent="0.25">
      <c r="A24" s="2" t="s">
        <v>58</v>
      </c>
      <c r="B24" s="3">
        <v>44980</v>
      </c>
      <c r="C24" s="2" t="s">
        <v>11</v>
      </c>
      <c r="D24" s="2" t="s">
        <v>31</v>
      </c>
      <c r="E24" s="2" t="s">
        <v>29</v>
      </c>
      <c r="F24" s="2" t="s">
        <v>32</v>
      </c>
      <c r="G24" s="2" t="s">
        <v>33</v>
      </c>
      <c r="H24" s="2">
        <v>3514.78</v>
      </c>
      <c r="I24" s="2">
        <v>16</v>
      </c>
      <c r="J24" s="2">
        <v>-260.74</v>
      </c>
    </row>
    <row r="25" spans="1:10" ht="15.75" customHeight="1" x14ac:dyDescent="0.25">
      <c r="A25" s="2" t="s">
        <v>59</v>
      </c>
      <c r="B25" s="3">
        <v>44981</v>
      </c>
      <c r="C25" s="2" t="s">
        <v>40</v>
      </c>
      <c r="D25" s="2" t="s">
        <v>47</v>
      </c>
      <c r="E25" s="2" t="s">
        <v>29</v>
      </c>
      <c r="F25" s="2" t="s">
        <v>50</v>
      </c>
      <c r="G25" s="2" t="s">
        <v>20</v>
      </c>
      <c r="H25" s="2">
        <v>892.96</v>
      </c>
      <c r="I25" s="2">
        <v>49</v>
      </c>
      <c r="J25" s="2">
        <v>-67.7</v>
      </c>
    </row>
    <row r="26" spans="1:10" ht="15.75" customHeight="1" x14ac:dyDescent="0.25">
      <c r="A26" s="2" t="s">
        <v>60</v>
      </c>
      <c r="B26" s="3">
        <v>44982</v>
      </c>
      <c r="C26" s="2" t="s">
        <v>17</v>
      </c>
      <c r="D26" s="2" t="s">
        <v>47</v>
      </c>
      <c r="E26" s="2" t="s">
        <v>29</v>
      </c>
      <c r="F26" s="2" t="s">
        <v>32</v>
      </c>
      <c r="G26" s="2" t="s">
        <v>35</v>
      </c>
      <c r="H26" s="2">
        <v>847.74</v>
      </c>
      <c r="I26" s="2">
        <v>30</v>
      </c>
      <c r="J26" s="2">
        <v>895.86</v>
      </c>
    </row>
    <row r="27" spans="1:10" ht="15.75" customHeight="1" x14ac:dyDescent="0.25">
      <c r="A27" s="2" t="s">
        <v>61</v>
      </c>
      <c r="B27" s="3">
        <v>44983</v>
      </c>
      <c r="C27" s="2" t="s">
        <v>27</v>
      </c>
      <c r="D27" s="2" t="s">
        <v>47</v>
      </c>
      <c r="E27" s="2" t="s">
        <v>13</v>
      </c>
      <c r="F27" s="2" t="s">
        <v>43</v>
      </c>
      <c r="G27" s="2" t="s">
        <v>25</v>
      </c>
      <c r="H27" s="2">
        <v>403.47</v>
      </c>
      <c r="I27" s="2">
        <v>37</v>
      </c>
      <c r="J27" s="2">
        <v>720.93</v>
      </c>
    </row>
    <row r="28" spans="1:10" ht="15.75" customHeight="1" x14ac:dyDescent="0.25">
      <c r="A28" s="2" t="s">
        <v>62</v>
      </c>
      <c r="B28" s="3">
        <v>44984</v>
      </c>
      <c r="C28" s="2" t="s">
        <v>11</v>
      </c>
      <c r="D28" s="2" t="s">
        <v>31</v>
      </c>
      <c r="E28" s="2" t="s">
        <v>23</v>
      </c>
      <c r="F28" s="2" t="s">
        <v>14</v>
      </c>
      <c r="G28" s="2" t="s">
        <v>15</v>
      </c>
      <c r="H28" s="2">
        <v>2900.34</v>
      </c>
      <c r="I28" s="2">
        <v>8</v>
      </c>
      <c r="J28" s="2">
        <v>472.25</v>
      </c>
    </row>
    <row r="29" spans="1:10" ht="15.75" customHeight="1" x14ac:dyDescent="0.25">
      <c r="A29" s="2" t="s">
        <v>63</v>
      </c>
      <c r="B29" s="3">
        <v>44985</v>
      </c>
      <c r="C29" s="2" t="s">
        <v>27</v>
      </c>
      <c r="D29" s="2" t="s">
        <v>47</v>
      </c>
      <c r="E29" s="2" t="s">
        <v>38</v>
      </c>
      <c r="F29" s="2" t="s">
        <v>14</v>
      </c>
      <c r="G29" s="2" t="s">
        <v>20</v>
      </c>
      <c r="H29" s="2">
        <v>1017.61</v>
      </c>
      <c r="I29" s="2">
        <v>48</v>
      </c>
      <c r="J29" s="2">
        <v>1153.6500000000001</v>
      </c>
    </row>
    <row r="30" spans="1:10" ht="15.75" customHeight="1" x14ac:dyDescent="0.25">
      <c r="A30" s="2" t="s">
        <v>64</v>
      </c>
      <c r="B30" s="3">
        <v>44986</v>
      </c>
      <c r="C30" s="2" t="s">
        <v>11</v>
      </c>
      <c r="D30" s="2" t="s">
        <v>47</v>
      </c>
      <c r="E30" s="2" t="s">
        <v>18</v>
      </c>
      <c r="F30" s="2" t="s">
        <v>41</v>
      </c>
      <c r="G30" s="2" t="s">
        <v>15</v>
      </c>
      <c r="H30" s="2">
        <v>2760.62</v>
      </c>
      <c r="I30" s="2">
        <v>39</v>
      </c>
      <c r="J30" s="2">
        <v>128.63</v>
      </c>
    </row>
    <row r="31" spans="1:10" ht="15.75" customHeight="1" x14ac:dyDescent="0.25">
      <c r="A31" s="2" t="s">
        <v>65</v>
      </c>
      <c r="B31" s="3">
        <v>44987</v>
      </c>
      <c r="C31" s="2" t="s">
        <v>17</v>
      </c>
      <c r="D31" s="2" t="s">
        <v>47</v>
      </c>
      <c r="E31" s="2" t="s">
        <v>29</v>
      </c>
      <c r="F31" s="2" t="s">
        <v>32</v>
      </c>
      <c r="G31" s="2" t="s">
        <v>15</v>
      </c>
      <c r="H31" s="2">
        <v>4115.42</v>
      </c>
      <c r="I31" s="2">
        <v>46</v>
      </c>
      <c r="J31" s="2">
        <v>71.92</v>
      </c>
    </row>
    <row r="32" spans="1:10" ht="15.75" customHeight="1" x14ac:dyDescent="0.25">
      <c r="A32" s="2" t="s">
        <v>66</v>
      </c>
      <c r="B32" s="3">
        <v>44988</v>
      </c>
      <c r="C32" s="2" t="s">
        <v>40</v>
      </c>
      <c r="D32" s="2" t="s">
        <v>47</v>
      </c>
      <c r="E32" s="2" t="s">
        <v>38</v>
      </c>
      <c r="F32" s="2" t="s">
        <v>43</v>
      </c>
      <c r="G32" s="2" t="s">
        <v>25</v>
      </c>
      <c r="H32" s="2">
        <v>4408.01</v>
      </c>
      <c r="I32" s="2">
        <v>44</v>
      </c>
      <c r="J32" s="2">
        <v>624.63</v>
      </c>
    </row>
    <row r="33" spans="1:10" ht="15.75" customHeight="1" x14ac:dyDescent="0.25">
      <c r="A33" s="2" t="s">
        <v>67</v>
      </c>
      <c r="B33" s="3">
        <v>44989</v>
      </c>
      <c r="C33" s="2" t="s">
        <v>11</v>
      </c>
      <c r="D33" s="2" t="s">
        <v>31</v>
      </c>
      <c r="E33" s="2" t="s">
        <v>38</v>
      </c>
      <c r="F33" s="2" t="s">
        <v>32</v>
      </c>
      <c r="G33" s="2" t="s">
        <v>33</v>
      </c>
      <c r="H33" s="2">
        <v>670.12</v>
      </c>
      <c r="I33" s="2">
        <v>7</v>
      </c>
      <c r="J33" s="2">
        <v>-108.02</v>
      </c>
    </row>
    <row r="34" spans="1:10" ht="15.75" customHeight="1" x14ac:dyDescent="0.25">
      <c r="A34" s="2" t="s">
        <v>68</v>
      </c>
      <c r="B34" s="3">
        <v>44990</v>
      </c>
      <c r="C34" s="2" t="s">
        <v>27</v>
      </c>
      <c r="D34" s="2" t="s">
        <v>12</v>
      </c>
      <c r="E34" s="2" t="s">
        <v>18</v>
      </c>
      <c r="F34" s="2" t="s">
        <v>32</v>
      </c>
      <c r="G34" s="2" t="s">
        <v>15</v>
      </c>
      <c r="H34" s="2">
        <v>1727.96</v>
      </c>
      <c r="I34" s="2">
        <v>12</v>
      </c>
      <c r="J34" s="2">
        <v>940.34</v>
      </c>
    </row>
    <row r="35" spans="1:10" ht="15.75" customHeight="1" x14ac:dyDescent="0.25">
      <c r="A35" s="2" t="s">
        <v>69</v>
      </c>
      <c r="B35" s="3">
        <v>44991</v>
      </c>
      <c r="C35" s="2" t="s">
        <v>11</v>
      </c>
      <c r="D35" s="2" t="s">
        <v>31</v>
      </c>
      <c r="E35" s="2" t="s">
        <v>18</v>
      </c>
      <c r="F35" s="2" t="s">
        <v>70</v>
      </c>
      <c r="G35" s="2" t="s">
        <v>33</v>
      </c>
      <c r="H35" s="2">
        <v>2145.14</v>
      </c>
      <c r="I35" s="2">
        <v>6</v>
      </c>
      <c r="J35" s="2">
        <v>1383.02</v>
      </c>
    </row>
    <row r="36" spans="1:10" ht="15.75" customHeight="1" x14ac:dyDescent="0.25">
      <c r="A36" s="2" t="s">
        <v>71</v>
      </c>
      <c r="B36" s="3">
        <v>44992</v>
      </c>
      <c r="C36" s="2" t="s">
        <v>17</v>
      </c>
      <c r="D36" s="2" t="s">
        <v>31</v>
      </c>
      <c r="E36" s="2" t="s">
        <v>38</v>
      </c>
      <c r="F36" s="2" t="s">
        <v>50</v>
      </c>
      <c r="G36" s="2" t="s">
        <v>20</v>
      </c>
      <c r="H36" s="2">
        <v>1978.75</v>
      </c>
      <c r="I36" s="2">
        <v>49</v>
      </c>
      <c r="J36" s="2">
        <v>1160.56</v>
      </c>
    </row>
    <row r="37" spans="1:10" ht="15.75" customHeight="1" x14ac:dyDescent="0.25">
      <c r="A37" s="2" t="s">
        <v>72</v>
      </c>
      <c r="B37" s="3">
        <v>44993</v>
      </c>
      <c r="C37" s="2" t="s">
        <v>17</v>
      </c>
      <c r="D37" s="2" t="s">
        <v>22</v>
      </c>
      <c r="E37" s="2" t="s">
        <v>18</v>
      </c>
      <c r="F37" s="2" t="s">
        <v>24</v>
      </c>
      <c r="G37" s="2" t="s">
        <v>35</v>
      </c>
      <c r="H37" s="2">
        <v>2152.2600000000002</v>
      </c>
      <c r="I37" s="2">
        <v>25</v>
      </c>
      <c r="J37" s="2">
        <v>1286.18</v>
      </c>
    </row>
    <row r="38" spans="1:10" ht="15.75" customHeight="1" x14ac:dyDescent="0.25">
      <c r="A38" s="2" t="s">
        <v>73</v>
      </c>
      <c r="B38" s="3">
        <v>44994</v>
      </c>
      <c r="C38" s="2" t="s">
        <v>27</v>
      </c>
      <c r="D38" s="2" t="s">
        <v>31</v>
      </c>
      <c r="E38" s="2" t="s">
        <v>18</v>
      </c>
      <c r="F38" s="2" t="s">
        <v>19</v>
      </c>
      <c r="G38" s="2" t="s">
        <v>15</v>
      </c>
      <c r="H38" s="2">
        <v>2353.94</v>
      </c>
      <c r="I38" s="2">
        <v>30</v>
      </c>
      <c r="J38" s="2">
        <v>-168.69</v>
      </c>
    </row>
    <row r="39" spans="1:10" ht="15.75" customHeight="1" x14ac:dyDescent="0.25">
      <c r="A39" s="2" t="s">
        <v>74</v>
      </c>
      <c r="B39" s="3">
        <v>44995</v>
      </c>
      <c r="C39" s="2" t="s">
        <v>40</v>
      </c>
      <c r="D39" s="2" t="s">
        <v>12</v>
      </c>
      <c r="E39" s="2" t="s">
        <v>18</v>
      </c>
      <c r="F39" s="2" t="s">
        <v>43</v>
      </c>
      <c r="G39" s="2" t="s">
        <v>25</v>
      </c>
      <c r="H39" s="2">
        <v>3807.1</v>
      </c>
      <c r="I39" s="2">
        <v>11</v>
      </c>
      <c r="J39" s="2">
        <v>463.26</v>
      </c>
    </row>
    <row r="40" spans="1:10" ht="15.75" customHeight="1" x14ac:dyDescent="0.25">
      <c r="A40" s="2" t="s">
        <v>75</v>
      </c>
      <c r="B40" s="3">
        <v>44996</v>
      </c>
      <c r="C40" s="2" t="s">
        <v>40</v>
      </c>
      <c r="D40" s="2" t="s">
        <v>47</v>
      </c>
      <c r="E40" s="2" t="s">
        <v>23</v>
      </c>
      <c r="F40" s="2" t="s">
        <v>70</v>
      </c>
      <c r="G40" s="2" t="s">
        <v>35</v>
      </c>
      <c r="H40" s="2">
        <v>1597.03</v>
      </c>
      <c r="I40" s="2">
        <v>30</v>
      </c>
      <c r="J40" s="2">
        <v>1325.29</v>
      </c>
    </row>
    <row r="41" spans="1:10" ht="15.75" customHeight="1" x14ac:dyDescent="0.25">
      <c r="A41" s="2" t="s">
        <v>76</v>
      </c>
      <c r="B41" s="3">
        <v>44997</v>
      </c>
      <c r="C41" s="2" t="s">
        <v>17</v>
      </c>
      <c r="D41" s="2" t="s">
        <v>28</v>
      </c>
      <c r="E41" s="2" t="s">
        <v>13</v>
      </c>
      <c r="F41" s="2" t="s">
        <v>50</v>
      </c>
      <c r="G41" s="2" t="s">
        <v>35</v>
      </c>
      <c r="H41" s="2">
        <v>1782.78</v>
      </c>
      <c r="I41" s="2">
        <v>43</v>
      </c>
      <c r="J41" s="2">
        <v>1214.45</v>
      </c>
    </row>
    <row r="42" spans="1:10" ht="15.75" customHeight="1" x14ac:dyDescent="0.25">
      <c r="A42" s="2" t="s">
        <v>77</v>
      </c>
      <c r="B42" s="3">
        <v>44998</v>
      </c>
      <c r="C42" s="2" t="s">
        <v>40</v>
      </c>
      <c r="D42" s="2" t="s">
        <v>47</v>
      </c>
      <c r="E42" s="2" t="s">
        <v>18</v>
      </c>
      <c r="F42" s="2" t="s">
        <v>50</v>
      </c>
      <c r="G42" s="2" t="s">
        <v>33</v>
      </c>
      <c r="H42" s="2">
        <v>2012.2</v>
      </c>
      <c r="I42" s="2">
        <v>37</v>
      </c>
      <c r="J42" s="2">
        <v>768.83</v>
      </c>
    </row>
    <row r="43" spans="1:10" ht="15.75" customHeight="1" x14ac:dyDescent="0.25">
      <c r="A43" s="2" t="s">
        <v>78</v>
      </c>
      <c r="B43" s="3">
        <v>44999</v>
      </c>
      <c r="C43" s="2" t="s">
        <v>27</v>
      </c>
      <c r="D43" s="2" t="s">
        <v>22</v>
      </c>
      <c r="E43" s="2" t="s">
        <v>13</v>
      </c>
      <c r="F43" s="2" t="s">
        <v>19</v>
      </c>
      <c r="G43" s="2" t="s">
        <v>25</v>
      </c>
      <c r="H43" s="2">
        <v>840.97</v>
      </c>
      <c r="I43" s="2">
        <v>26</v>
      </c>
      <c r="J43" s="2">
        <v>877.95</v>
      </c>
    </row>
    <row r="44" spans="1:10" ht="15.75" customHeight="1" x14ac:dyDescent="0.25">
      <c r="A44" s="2" t="s">
        <v>79</v>
      </c>
      <c r="B44" s="3">
        <v>45000</v>
      </c>
      <c r="C44" s="2" t="s">
        <v>27</v>
      </c>
      <c r="D44" s="2" t="s">
        <v>31</v>
      </c>
      <c r="E44" s="2" t="s">
        <v>13</v>
      </c>
      <c r="F44" s="2" t="s">
        <v>70</v>
      </c>
      <c r="G44" s="2" t="s">
        <v>35</v>
      </c>
      <c r="H44" s="2">
        <v>3188.83</v>
      </c>
      <c r="I44" s="2">
        <v>11</v>
      </c>
      <c r="J44" s="2">
        <v>178.82</v>
      </c>
    </row>
    <row r="45" spans="1:10" ht="15.75" customHeight="1" x14ac:dyDescent="0.25">
      <c r="A45" s="2" t="s">
        <v>80</v>
      </c>
      <c r="B45" s="3">
        <v>45001</v>
      </c>
      <c r="C45" s="2" t="s">
        <v>40</v>
      </c>
      <c r="D45" s="2" t="s">
        <v>28</v>
      </c>
      <c r="E45" s="2" t="s">
        <v>38</v>
      </c>
      <c r="F45" s="2" t="s">
        <v>41</v>
      </c>
      <c r="G45" s="2" t="s">
        <v>20</v>
      </c>
      <c r="H45" s="2">
        <v>2061.21</v>
      </c>
      <c r="I45" s="2">
        <v>23</v>
      </c>
      <c r="J45" s="2">
        <v>177.42</v>
      </c>
    </row>
    <row r="46" spans="1:10" ht="15.75" customHeight="1" x14ac:dyDescent="0.25">
      <c r="A46" s="2" t="s">
        <v>81</v>
      </c>
      <c r="B46" s="3">
        <v>45002</v>
      </c>
      <c r="C46" s="2" t="s">
        <v>40</v>
      </c>
      <c r="D46" s="2" t="s">
        <v>22</v>
      </c>
      <c r="E46" s="2" t="s">
        <v>29</v>
      </c>
      <c r="F46" s="2" t="s">
        <v>14</v>
      </c>
      <c r="G46" s="2" t="s">
        <v>35</v>
      </c>
      <c r="H46" s="2">
        <v>4589.1499999999996</v>
      </c>
      <c r="I46" s="2">
        <v>17</v>
      </c>
      <c r="J46" s="2">
        <v>-179.92</v>
      </c>
    </row>
    <row r="47" spans="1:10" ht="15.75" customHeight="1" x14ac:dyDescent="0.25">
      <c r="A47" s="2" t="s">
        <v>82</v>
      </c>
      <c r="B47" s="3">
        <v>45003</v>
      </c>
      <c r="C47" s="2" t="s">
        <v>17</v>
      </c>
      <c r="D47" s="2" t="s">
        <v>47</v>
      </c>
      <c r="E47" s="2" t="s">
        <v>29</v>
      </c>
      <c r="F47" s="2" t="s">
        <v>70</v>
      </c>
      <c r="G47" s="2" t="s">
        <v>15</v>
      </c>
      <c r="H47" s="2">
        <v>4124.9399999999996</v>
      </c>
      <c r="I47" s="2">
        <v>17</v>
      </c>
      <c r="J47" s="2">
        <v>1323.47</v>
      </c>
    </row>
    <row r="48" spans="1:10" ht="15.75" customHeight="1" x14ac:dyDescent="0.25">
      <c r="A48" s="2" t="s">
        <v>83</v>
      </c>
      <c r="B48" s="3">
        <v>45004</v>
      </c>
      <c r="C48" s="2" t="s">
        <v>17</v>
      </c>
      <c r="D48" s="2" t="s">
        <v>28</v>
      </c>
      <c r="E48" s="2" t="s">
        <v>23</v>
      </c>
      <c r="F48" s="2" t="s">
        <v>24</v>
      </c>
      <c r="G48" s="2" t="s">
        <v>20</v>
      </c>
      <c r="H48" s="2">
        <v>1227.8800000000001</v>
      </c>
      <c r="I48" s="2">
        <v>35</v>
      </c>
      <c r="J48" s="2">
        <v>220.18</v>
      </c>
    </row>
    <row r="49" spans="1:10" ht="15.75" customHeight="1" x14ac:dyDescent="0.25">
      <c r="A49" s="2" t="s">
        <v>84</v>
      </c>
      <c r="B49" s="3">
        <v>45005</v>
      </c>
      <c r="C49" s="2" t="s">
        <v>17</v>
      </c>
      <c r="D49" s="2" t="s">
        <v>12</v>
      </c>
      <c r="E49" s="2" t="s">
        <v>38</v>
      </c>
      <c r="F49" s="2" t="s">
        <v>43</v>
      </c>
      <c r="G49" s="2" t="s">
        <v>15</v>
      </c>
      <c r="H49" s="2">
        <v>1287.3399999999999</v>
      </c>
      <c r="I49" s="2">
        <v>17</v>
      </c>
      <c r="J49" s="2">
        <v>1486.5</v>
      </c>
    </row>
    <row r="50" spans="1:10" ht="15.75" customHeight="1" x14ac:dyDescent="0.25">
      <c r="A50" s="2" t="s">
        <v>85</v>
      </c>
      <c r="B50" s="3">
        <v>45006</v>
      </c>
      <c r="C50" s="2" t="s">
        <v>27</v>
      </c>
      <c r="D50" s="2" t="s">
        <v>31</v>
      </c>
      <c r="E50" s="2" t="s">
        <v>13</v>
      </c>
      <c r="F50" s="2" t="s">
        <v>70</v>
      </c>
      <c r="G50" s="2" t="s">
        <v>35</v>
      </c>
      <c r="H50" s="2">
        <v>3933.13</v>
      </c>
      <c r="I50" s="2">
        <v>13</v>
      </c>
      <c r="J50" s="2">
        <v>-287.70999999999998</v>
      </c>
    </row>
    <row r="51" spans="1:10" ht="15.75" customHeight="1" x14ac:dyDescent="0.25">
      <c r="A51" s="2" t="s">
        <v>86</v>
      </c>
      <c r="B51" s="3">
        <v>45007</v>
      </c>
      <c r="C51" s="2" t="s">
        <v>27</v>
      </c>
      <c r="D51" s="2" t="s">
        <v>47</v>
      </c>
      <c r="E51" s="2" t="s">
        <v>18</v>
      </c>
      <c r="F51" s="2" t="s">
        <v>32</v>
      </c>
      <c r="G51" s="2" t="s">
        <v>35</v>
      </c>
      <c r="H51" s="2">
        <v>2843.45</v>
      </c>
      <c r="I51" s="2">
        <v>4</v>
      </c>
      <c r="J51" s="2">
        <v>1138.42</v>
      </c>
    </row>
    <row r="52" spans="1:10" ht="15.75" customHeight="1" x14ac:dyDescent="0.25">
      <c r="A52" s="2" t="s">
        <v>87</v>
      </c>
      <c r="B52" s="3">
        <v>45008</v>
      </c>
      <c r="C52" s="2" t="s">
        <v>27</v>
      </c>
      <c r="D52" s="2" t="s">
        <v>12</v>
      </c>
      <c r="E52" s="2" t="s">
        <v>13</v>
      </c>
      <c r="F52" s="2" t="s">
        <v>70</v>
      </c>
      <c r="G52" s="2" t="s">
        <v>35</v>
      </c>
      <c r="H52" s="2">
        <v>150.03</v>
      </c>
      <c r="I52" s="2">
        <v>27</v>
      </c>
      <c r="J52" s="2">
        <v>646.44000000000005</v>
      </c>
    </row>
    <row r="53" spans="1:10" ht="15.75" customHeight="1" x14ac:dyDescent="0.25">
      <c r="A53" s="2" t="s">
        <v>88</v>
      </c>
      <c r="B53" s="3">
        <v>45009</v>
      </c>
      <c r="C53" s="2" t="s">
        <v>27</v>
      </c>
      <c r="D53" s="2" t="s">
        <v>31</v>
      </c>
      <c r="E53" s="2" t="s">
        <v>23</v>
      </c>
      <c r="F53" s="2" t="s">
        <v>50</v>
      </c>
      <c r="G53" s="2" t="s">
        <v>20</v>
      </c>
      <c r="H53" s="2">
        <v>3186.43</v>
      </c>
      <c r="I53" s="2">
        <v>29</v>
      </c>
      <c r="J53" s="2">
        <v>-224.36</v>
      </c>
    </row>
    <row r="54" spans="1:10" ht="15.75" customHeight="1" x14ac:dyDescent="0.25">
      <c r="A54" s="2" t="s">
        <v>89</v>
      </c>
      <c r="B54" s="3">
        <v>45010</v>
      </c>
      <c r="C54" s="2" t="s">
        <v>17</v>
      </c>
      <c r="D54" s="2" t="s">
        <v>31</v>
      </c>
      <c r="E54" s="2" t="s">
        <v>18</v>
      </c>
      <c r="F54" s="2" t="s">
        <v>50</v>
      </c>
      <c r="G54" s="2" t="s">
        <v>15</v>
      </c>
      <c r="H54" s="2">
        <v>2035.07</v>
      </c>
      <c r="I54" s="2">
        <v>38</v>
      </c>
      <c r="J54" s="2">
        <v>893.74</v>
      </c>
    </row>
    <row r="55" spans="1:10" ht="15.75" customHeight="1" x14ac:dyDescent="0.25">
      <c r="A55" s="2" t="s">
        <v>90</v>
      </c>
      <c r="B55" s="3">
        <v>45011</v>
      </c>
      <c r="C55" s="2" t="s">
        <v>17</v>
      </c>
      <c r="D55" s="2" t="s">
        <v>47</v>
      </c>
      <c r="E55" s="2" t="s">
        <v>13</v>
      </c>
      <c r="F55" s="2" t="s">
        <v>19</v>
      </c>
      <c r="G55" s="2" t="s">
        <v>25</v>
      </c>
      <c r="H55" s="2">
        <v>3947.55</v>
      </c>
      <c r="I55" s="2">
        <v>26</v>
      </c>
      <c r="J55" s="2">
        <v>964.42</v>
      </c>
    </row>
    <row r="56" spans="1:10" ht="15.75" customHeight="1" x14ac:dyDescent="0.25">
      <c r="A56" s="2" t="s">
        <v>91</v>
      </c>
      <c r="B56" s="3">
        <v>45012</v>
      </c>
      <c r="C56" s="2" t="s">
        <v>17</v>
      </c>
      <c r="D56" s="2" t="s">
        <v>28</v>
      </c>
      <c r="E56" s="2" t="s">
        <v>38</v>
      </c>
      <c r="F56" s="2" t="s">
        <v>70</v>
      </c>
      <c r="G56" s="2" t="s">
        <v>25</v>
      </c>
      <c r="H56" s="2">
        <v>3759.55</v>
      </c>
      <c r="I56" s="2">
        <v>36</v>
      </c>
      <c r="J56" s="2">
        <v>959.31</v>
      </c>
    </row>
    <row r="57" spans="1:10" ht="15.75" customHeight="1" x14ac:dyDescent="0.25">
      <c r="A57" s="2" t="s">
        <v>92</v>
      </c>
      <c r="B57" s="3">
        <v>45013</v>
      </c>
      <c r="C57" s="2" t="s">
        <v>40</v>
      </c>
      <c r="D57" s="2" t="s">
        <v>12</v>
      </c>
      <c r="E57" s="2" t="s">
        <v>23</v>
      </c>
      <c r="F57" s="2" t="s">
        <v>32</v>
      </c>
      <c r="G57" s="2" t="s">
        <v>33</v>
      </c>
      <c r="H57" s="2">
        <v>4619.41</v>
      </c>
      <c r="I57" s="2">
        <v>23</v>
      </c>
      <c r="J57" s="2">
        <v>952.68</v>
      </c>
    </row>
    <row r="58" spans="1:10" ht="15.75" customHeight="1" x14ac:dyDescent="0.25">
      <c r="A58" s="2" t="s">
        <v>93</v>
      </c>
      <c r="B58" s="3">
        <v>45014</v>
      </c>
      <c r="C58" s="2" t="s">
        <v>40</v>
      </c>
      <c r="D58" s="2" t="s">
        <v>22</v>
      </c>
      <c r="E58" s="2" t="s">
        <v>23</v>
      </c>
      <c r="F58" s="2" t="s">
        <v>14</v>
      </c>
      <c r="G58" s="2" t="s">
        <v>33</v>
      </c>
      <c r="H58" s="2">
        <v>3526.5</v>
      </c>
      <c r="I58" s="2">
        <v>9</v>
      </c>
      <c r="J58" s="2">
        <v>920.7</v>
      </c>
    </row>
    <row r="59" spans="1:10" ht="15.75" customHeight="1" x14ac:dyDescent="0.25">
      <c r="A59" s="2" t="s">
        <v>94</v>
      </c>
      <c r="B59" s="3">
        <v>45015</v>
      </c>
      <c r="C59" s="2" t="s">
        <v>11</v>
      </c>
      <c r="D59" s="2" t="s">
        <v>47</v>
      </c>
      <c r="E59" s="2" t="s">
        <v>13</v>
      </c>
      <c r="F59" s="2" t="s">
        <v>14</v>
      </c>
      <c r="G59" s="2" t="s">
        <v>33</v>
      </c>
      <c r="H59" s="2">
        <v>4573.6000000000004</v>
      </c>
      <c r="I59" s="2">
        <v>2</v>
      </c>
      <c r="J59" s="2">
        <v>1081.6400000000001</v>
      </c>
    </row>
    <row r="60" spans="1:10" ht="15.75" customHeight="1" x14ac:dyDescent="0.25">
      <c r="A60" s="2" t="s">
        <v>95</v>
      </c>
      <c r="B60" s="3">
        <v>45016</v>
      </c>
      <c r="C60" s="2" t="s">
        <v>17</v>
      </c>
      <c r="D60" s="2" t="s">
        <v>28</v>
      </c>
      <c r="E60" s="2" t="s">
        <v>23</v>
      </c>
      <c r="F60" s="2" t="s">
        <v>70</v>
      </c>
      <c r="G60" s="2" t="s">
        <v>15</v>
      </c>
      <c r="H60" s="2">
        <v>1494.81</v>
      </c>
      <c r="I60" s="2">
        <v>32</v>
      </c>
      <c r="J60" s="2">
        <v>384.19</v>
      </c>
    </row>
    <row r="61" spans="1:10" ht="15.75" customHeight="1" x14ac:dyDescent="0.25">
      <c r="A61" s="2" t="s">
        <v>96</v>
      </c>
      <c r="B61" s="3">
        <v>45017</v>
      </c>
      <c r="C61" s="2" t="s">
        <v>27</v>
      </c>
      <c r="D61" s="2" t="s">
        <v>28</v>
      </c>
      <c r="E61" s="2" t="s">
        <v>23</v>
      </c>
      <c r="F61" s="2" t="s">
        <v>32</v>
      </c>
      <c r="G61" s="2" t="s">
        <v>35</v>
      </c>
      <c r="H61" s="2">
        <v>1759.71</v>
      </c>
      <c r="I61" s="2">
        <v>42</v>
      </c>
      <c r="J61" s="2">
        <v>1423.88</v>
      </c>
    </row>
    <row r="62" spans="1:10" ht="15.75" customHeight="1" x14ac:dyDescent="0.25">
      <c r="A62" s="2" t="s">
        <v>97</v>
      </c>
      <c r="B62" s="3">
        <v>45018</v>
      </c>
      <c r="C62" s="2" t="s">
        <v>27</v>
      </c>
      <c r="D62" s="2" t="s">
        <v>31</v>
      </c>
      <c r="E62" s="2" t="s">
        <v>18</v>
      </c>
      <c r="F62" s="2" t="s">
        <v>43</v>
      </c>
      <c r="G62" s="2" t="s">
        <v>15</v>
      </c>
      <c r="H62" s="2">
        <v>390.08</v>
      </c>
      <c r="I62" s="2">
        <v>47</v>
      </c>
      <c r="J62" s="2">
        <v>569.03</v>
      </c>
    </row>
    <row r="63" spans="1:10" ht="15.75" customHeight="1" x14ac:dyDescent="0.25">
      <c r="A63" s="2" t="s">
        <v>98</v>
      </c>
      <c r="B63" s="3">
        <v>45019</v>
      </c>
      <c r="C63" s="2" t="s">
        <v>40</v>
      </c>
      <c r="D63" s="2" t="s">
        <v>12</v>
      </c>
      <c r="E63" s="2" t="s">
        <v>13</v>
      </c>
      <c r="F63" s="2" t="s">
        <v>41</v>
      </c>
      <c r="G63" s="2" t="s">
        <v>15</v>
      </c>
      <c r="H63" s="2">
        <v>4347.99</v>
      </c>
      <c r="I63" s="2">
        <v>31</v>
      </c>
      <c r="J63" s="2">
        <v>182.08</v>
      </c>
    </row>
    <row r="64" spans="1:10" ht="15.75" customHeight="1" x14ac:dyDescent="0.25">
      <c r="A64" s="2" t="s">
        <v>99</v>
      </c>
      <c r="B64" s="3">
        <v>45020</v>
      </c>
      <c r="C64" s="2" t="s">
        <v>40</v>
      </c>
      <c r="D64" s="2" t="s">
        <v>22</v>
      </c>
      <c r="E64" s="2" t="s">
        <v>29</v>
      </c>
      <c r="F64" s="2" t="s">
        <v>14</v>
      </c>
      <c r="G64" s="2" t="s">
        <v>35</v>
      </c>
      <c r="H64" s="2">
        <v>855.67</v>
      </c>
      <c r="I64" s="2">
        <v>29</v>
      </c>
      <c r="J64" s="2">
        <v>1487.13</v>
      </c>
    </row>
    <row r="65" spans="1:10" ht="15.75" customHeight="1" x14ac:dyDescent="0.25">
      <c r="A65" s="2" t="s">
        <v>100</v>
      </c>
      <c r="B65" s="3">
        <v>45021</v>
      </c>
      <c r="C65" s="2" t="s">
        <v>11</v>
      </c>
      <c r="D65" s="2" t="s">
        <v>31</v>
      </c>
      <c r="E65" s="2" t="s">
        <v>13</v>
      </c>
      <c r="F65" s="2" t="s">
        <v>50</v>
      </c>
      <c r="G65" s="2" t="s">
        <v>15</v>
      </c>
      <c r="H65" s="2">
        <v>2801.47</v>
      </c>
      <c r="I65" s="2">
        <v>5</v>
      </c>
      <c r="J65" s="2">
        <v>203.14</v>
      </c>
    </row>
    <row r="66" spans="1:10" ht="15.75" customHeight="1" x14ac:dyDescent="0.25">
      <c r="A66" s="2" t="s">
        <v>101</v>
      </c>
      <c r="B66" s="3">
        <v>45022</v>
      </c>
      <c r="C66" s="2" t="s">
        <v>11</v>
      </c>
      <c r="D66" s="2" t="s">
        <v>28</v>
      </c>
      <c r="E66" s="2" t="s">
        <v>18</v>
      </c>
      <c r="F66" s="2" t="s">
        <v>19</v>
      </c>
      <c r="G66" s="2" t="s">
        <v>25</v>
      </c>
      <c r="H66" s="2">
        <v>2595.06</v>
      </c>
      <c r="I66" s="2">
        <v>36</v>
      </c>
      <c r="J66" s="2">
        <v>493.35</v>
      </c>
    </row>
    <row r="67" spans="1:10" ht="15.75" customHeight="1" x14ac:dyDescent="0.25">
      <c r="A67" s="2" t="s">
        <v>102</v>
      </c>
      <c r="B67" s="3">
        <v>45023</v>
      </c>
      <c r="C67" s="2" t="s">
        <v>11</v>
      </c>
      <c r="D67" s="2" t="s">
        <v>47</v>
      </c>
      <c r="E67" s="2" t="s">
        <v>38</v>
      </c>
      <c r="F67" s="2" t="s">
        <v>14</v>
      </c>
      <c r="G67" s="2" t="s">
        <v>35</v>
      </c>
      <c r="H67" s="2">
        <v>4088.28</v>
      </c>
      <c r="I67" s="2">
        <v>49</v>
      </c>
      <c r="J67" s="2">
        <v>955.93</v>
      </c>
    </row>
    <row r="68" spans="1:10" ht="15.75" customHeight="1" x14ac:dyDescent="0.25">
      <c r="A68" s="2" t="s">
        <v>103</v>
      </c>
      <c r="B68" s="3">
        <v>45024</v>
      </c>
      <c r="C68" s="2" t="s">
        <v>27</v>
      </c>
      <c r="D68" s="2" t="s">
        <v>22</v>
      </c>
      <c r="E68" s="2" t="s">
        <v>38</v>
      </c>
      <c r="F68" s="2" t="s">
        <v>24</v>
      </c>
      <c r="G68" s="2" t="s">
        <v>33</v>
      </c>
      <c r="H68" s="2">
        <v>2001.15</v>
      </c>
      <c r="I68" s="2">
        <v>28</v>
      </c>
      <c r="J68" s="2">
        <v>1136.6500000000001</v>
      </c>
    </row>
    <row r="69" spans="1:10" ht="15.75" customHeight="1" x14ac:dyDescent="0.25">
      <c r="A69" s="2" t="s">
        <v>104</v>
      </c>
      <c r="B69" s="3">
        <v>45025</v>
      </c>
      <c r="C69" s="2" t="s">
        <v>27</v>
      </c>
      <c r="D69" s="2" t="s">
        <v>12</v>
      </c>
      <c r="E69" s="2" t="s">
        <v>23</v>
      </c>
      <c r="F69" s="2" t="s">
        <v>41</v>
      </c>
      <c r="G69" s="2" t="s">
        <v>20</v>
      </c>
      <c r="H69" s="2">
        <v>799.06</v>
      </c>
      <c r="I69" s="2">
        <v>37</v>
      </c>
      <c r="J69" s="2">
        <v>269.97000000000003</v>
      </c>
    </row>
    <row r="70" spans="1:10" ht="15.75" customHeight="1" x14ac:dyDescent="0.25">
      <c r="A70" s="2" t="s">
        <v>105</v>
      </c>
      <c r="B70" s="3">
        <v>45026</v>
      </c>
      <c r="C70" s="2" t="s">
        <v>27</v>
      </c>
      <c r="D70" s="2" t="s">
        <v>31</v>
      </c>
      <c r="E70" s="2" t="s">
        <v>13</v>
      </c>
      <c r="F70" s="2" t="s">
        <v>24</v>
      </c>
      <c r="G70" s="2" t="s">
        <v>25</v>
      </c>
      <c r="H70" s="2">
        <v>1977.1</v>
      </c>
      <c r="I70" s="2">
        <v>40</v>
      </c>
      <c r="J70" s="2">
        <v>-236.52</v>
      </c>
    </row>
    <row r="71" spans="1:10" ht="15.75" customHeight="1" x14ac:dyDescent="0.25">
      <c r="A71" s="2" t="s">
        <v>106</v>
      </c>
      <c r="B71" s="3">
        <v>45027</v>
      </c>
      <c r="C71" s="2" t="s">
        <v>40</v>
      </c>
      <c r="D71" s="2" t="s">
        <v>31</v>
      </c>
      <c r="E71" s="2" t="s">
        <v>23</v>
      </c>
      <c r="F71" s="2" t="s">
        <v>24</v>
      </c>
      <c r="G71" s="2" t="s">
        <v>35</v>
      </c>
      <c r="H71" s="2">
        <v>335.44</v>
      </c>
      <c r="I71" s="2">
        <v>27</v>
      </c>
      <c r="J71" s="2">
        <v>740.49</v>
      </c>
    </row>
    <row r="72" spans="1:10" ht="15.75" customHeight="1" x14ac:dyDescent="0.25">
      <c r="A72" s="2" t="s">
        <v>107</v>
      </c>
      <c r="B72" s="3">
        <v>45028</v>
      </c>
      <c r="C72" s="2" t="s">
        <v>27</v>
      </c>
      <c r="D72" s="2" t="s">
        <v>12</v>
      </c>
      <c r="E72" s="2" t="s">
        <v>18</v>
      </c>
      <c r="F72" s="2" t="s">
        <v>32</v>
      </c>
      <c r="G72" s="2" t="s">
        <v>20</v>
      </c>
      <c r="H72" s="2">
        <v>1577.2</v>
      </c>
      <c r="I72" s="2">
        <v>10</v>
      </c>
      <c r="J72" s="2">
        <v>765.58</v>
      </c>
    </row>
    <row r="73" spans="1:10" ht="15.75" customHeight="1" x14ac:dyDescent="0.25">
      <c r="A73" s="2" t="s">
        <v>108</v>
      </c>
      <c r="B73" s="3">
        <v>45029</v>
      </c>
      <c r="C73" s="2" t="s">
        <v>40</v>
      </c>
      <c r="D73" s="2" t="s">
        <v>28</v>
      </c>
      <c r="E73" s="2" t="s">
        <v>18</v>
      </c>
      <c r="F73" s="2" t="s">
        <v>70</v>
      </c>
      <c r="G73" s="2" t="s">
        <v>35</v>
      </c>
      <c r="H73" s="2">
        <v>3187.01</v>
      </c>
      <c r="I73" s="2">
        <v>27</v>
      </c>
      <c r="J73" s="2">
        <v>1013.22</v>
      </c>
    </row>
    <row r="74" spans="1:10" ht="15.75" customHeight="1" x14ac:dyDescent="0.25">
      <c r="A74" s="2" t="s">
        <v>109</v>
      </c>
      <c r="B74" s="3">
        <v>45030</v>
      </c>
      <c r="C74" s="2" t="s">
        <v>17</v>
      </c>
      <c r="D74" s="2" t="s">
        <v>12</v>
      </c>
      <c r="E74" s="2" t="s">
        <v>29</v>
      </c>
      <c r="F74" s="2" t="s">
        <v>50</v>
      </c>
      <c r="G74" s="2" t="s">
        <v>25</v>
      </c>
      <c r="H74" s="2">
        <v>380</v>
      </c>
      <c r="I74" s="2">
        <v>30</v>
      </c>
      <c r="J74" s="2">
        <v>169.77</v>
      </c>
    </row>
    <row r="75" spans="1:10" ht="15.75" customHeight="1" x14ac:dyDescent="0.25">
      <c r="A75" s="2" t="s">
        <v>110</v>
      </c>
      <c r="B75" s="3">
        <v>45031</v>
      </c>
      <c r="C75" s="2" t="s">
        <v>40</v>
      </c>
      <c r="D75" s="2" t="s">
        <v>47</v>
      </c>
      <c r="E75" s="2" t="s">
        <v>23</v>
      </c>
      <c r="F75" s="2" t="s">
        <v>14</v>
      </c>
      <c r="G75" s="2" t="s">
        <v>33</v>
      </c>
      <c r="H75" s="2">
        <v>4949.51</v>
      </c>
      <c r="I75" s="2">
        <v>43</v>
      </c>
      <c r="J75" s="2">
        <v>1177.3</v>
      </c>
    </row>
    <row r="76" spans="1:10" ht="15.75" customHeight="1" x14ac:dyDescent="0.25">
      <c r="A76" s="2" t="s">
        <v>111</v>
      </c>
      <c r="B76" s="3">
        <v>45032</v>
      </c>
      <c r="C76" s="2" t="s">
        <v>11</v>
      </c>
      <c r="D76" s="2" t="s">
        <v>28</v>
      </c>
      <c r="E76" s="2" t="s">
        <v>13</v>
      </c>
      <c r="F76" s="2" t="s">
        <v>43</v>
      </c>
      <c r="G76" s="2" t="s">
        <v>35</v>
      </c>
      <c r="H76" s="2">
        <v>2727.33</v>
      </c>
      <c r="I76" s="2">
        <v>20</v>
      </c>
      <c r="J76" s="2">
        <v>1093.08</v>
      </c>
    </row>
    <row r="77" spans="1:10" ht="15.75" customHeight="1" x14ac:dyDescent="0.25">
      <c r="A77" s="2" t="s">
        <v>112</v>
      </c>
      <c r="B77" s="3">
        <v>45033</v>
      </c>
      <c r="C77" s="2" t="s">
        <v>40</v>
      </c>
      <c r="D77" s="2" t="s">
        <v>47</v>
      </c>
      <c r="E77" s="2" t="s">
        <v>38</v>
      </c>
      <c r="F77" s="2" t="s">
        <v>24</v>
      </c>
      <c r="G77" s="2" t="s">
        <v>35</v>
      </c>
      <c r="H77" s="2">
        <v>1570.35</v>
      </c>
      <c r="I77" s="2">
        <v>5</v>
      </c>
      <c r="J77" s="2">
        <v>1250.97</v>
      </c>
    </row>
    <row r="78" spans="1:10" ht="15.75" customHeight="1" x14ac:dyDescent="0.25">
      <c r="A78" s="2" t="s">
        <v>113</v>
      </c>
      <c r="B78" s="3">
        <v>45034</v>
      </c>
      <c r="C78" s="2" t="s">
        <v>17</v>
      </c>
      <c r="D78" s="2" t="s">
        <v>28</v>
      </c>
      <c r="E78" s="2" t="s">
        <v>38</v>
      </c>
      <c r="F78" s="2" t="s">
        <v>19</v>
      </c>
      <c r="G78" s="2" t="s">
        <v>15</v>
      </c>
      <c r="H78" s="2">
        <v>4185.5600000000004</v>
      </c>
      <c r="I78" s="2">
        <v>38</v>
      </c>
      <c r="J78" s="2">
        <v>1060.82</v>
      </c>
    </row>
    <row r="79" spans="1:10" ht="15.75" customHeight="1" x14ac:dyDescent="0.25">
      <c r="A79" s="2" t="s">
        <v>114</v>
      </c>
      <c r="B79" s="3">
        <v>45035</v>
      </c>
      <c r="C79" s="2" t="s">
        <v>17</v>
      </c>
      <c r="D79" s="2" t="s">
        <v>47</v>
      </c>
      <c r="E79" s="2" t="s">
        <v>29</v>
      </c>
      <c r="F79" s="2" t="s">
        <v>19</v>
      </c>
      <c r="G79" s="2" t="s">
        <v>33</v>
      </c>
      <c r="H79" s="2">
        <v>773.58</v>
      </c>
      <c r="I79" s="2">
        <v>29</v>
      </c>
      <c r="J79" s="2">
        <v>911.61</v>
      </c>
    </row>
    <row r="80" spans="1:10" ht="15.75" customHeight="1" x14ac:dyDescent="0.25">
      <c r="A80" s="2" t="s">
        <v>115</v>
      </c>
      <c r="B80" s="3">
        <v>45036</v>
      </c>
      <c r="C80" s="2" t="s">
        <v>17</v>
      </c>
      <c r="D80" s="2" t="s">
        <v>47</v>
      </c>
      <c r="E80" s="2" t="s">
        <v>18</v>
      </c>
      <c r="F80" s="2" t="s">
        <v>19</v>
      </c>
      <c r="G80" s="2" t="s">
        <v>15</v>
      </c>
      <c r="H80" s="2">
        <v>1677.62</v>
      </c>
      <c r="I80" s="2">
        <v>42</v>
      </c>
      <c r="J80" s="2">
        <v>697.41</v>
      </c>
    </row>
    <row r="81" spans="1:10" ht="15.75" customHeight="1" x14ac:dyDescent="0.25">
      <c r="A81" s="2" t="s">
        <v>116</v>
      </c>
      <c r="B81" s="3">
        <v>45037</v>
      </c>
      <c r="C81" s="2" t="s">
        <v>40</v>
      </c>
      <c r="D81" s="2" t="s">
        <v>22</v>
      </c>
      <c r="E81" s="2" t="s">
        <v>23</v>
      </c>
      <c r="F81" s="2" t="s">
        <v>14</v>
      </c>
      <c r="G81" s="2" t="s">
        <v>25</v>
      </c>
      <c r="H81" s="2">
        <v>4692.04</v>
      </c>
      <c r="I81" s="2">
        <v>16</v>
      </c>
      <c r="J81" s="2">
        <v>1243.4100000000001</v>
      </c>
    </row>
    <row r="82" spans="1:10" ht="15.75" customHeight="1" x14ac:dyDescent="0.25">
      <c r="A82" s="2" t="s">
        <v>117</v>
      </c>
      <c r="B82" s="3">
        <v>45038</v>
      </c>
      <c r="C82" s="2" t="s">
        <v>40</v>
      </c>
      <c r="D82" s="2" t="s">
        <v>47</v>
      </c>
      <c r="E82" s="2" t="s">
        <v>23</v>
      </c>
      <c r="F82" s="2" t="s">
        <v>24</v>
      </c>
      <c r="G82" s="2" t="s">
        <v>33</v>
      </c>
      <c r="H82" s="2">
        <v>1275.67</v>
      </c>
      <c r="I82" s="2">
        <v>29</v>
      </c>
      <c r="J82" s="2">
        <v>106.73</v>
      </c>
    </row>
    <row r="83" spans="1:10" ht="15.75" customHeight="1" x14ac:dyDescent="0.25">
      <c r="A83" s="2" t="s">
        <v>118</v>
      </c>
      <c r="B83" s="3">
        <v>45039</v>
      </c>
      <c r="C83" s="2" t="s">
        <v>11</v>
      </c>
      <c r="D83" s="2" t="s">
        <v>22</v>
      </c>
      <c r="E83" s="2" t="s">
        <v>18</v>
      </c>
      <c r="F83" s="2" t="s">
        <v>70</v>
      </c>
      <c r="G83" s="2" t="s">
        <v>25</v>
      </c>
      <c r="H83" s="2">
        <v>3691.17</v>
      </c>
      <c r="I83" s="2">
        <v>16</v>
      </c>
      <c r="J83" s="2">
        <v>897.02</v>
      </c>
    </row>
    <row r="84" spans="1:10" ht="15.75" customHeight="1" x14ac:dyDescent="0.25">
      <c r="A84" s="2" t="s">
        <v>119</v>
      </c>
      <c r="B84" s="3">
        <v>45040</v>
      </c>
      <c r="C84" s="2" t="s">
        <v>27</v>
      </c>
      <c r="D84" s="2" t="s">
        <v>28</v>
      </c>
      <c r="E84" s="2" t="s">
        <v>18</v>
      </c>
      <c r="F84" s="2" t="s">
        <v>70</v>
      </c>
      <c r="G84" s="2" t="s">
        <v>25</v>
      </c>
      <c r="H84" s="2">
        <v>496.56</v>
      </c>
      <c r="I84" s="2">
        <v>47</v>
      </c>
      <c r="J84" s="2">
        <v>1125.8</v>
      </c>
    </row>
    <row r="85" spans="1:10" ht="15.75" customHeight="1" x14ac:dyDescent="0.25">
      <c r="A85" s="2" t="s">
        <v>120</v>
      </c>
      <c r="B85" s="3">
        <v>45041</v>
      </c>
      <c r="C85" s="2" t="s">
        <v>17</v>
      </c>
      <c r="D85" s="2" t="s">
        <v>47</v>
      </c>
      <c r="E85" s="2" t="s">
        <v>23</v>
      </c>
      <c r="F85" s="2" t="s">
        <v>41</v>
      </c>
      <c r="G85" s="2" t="s">
        <v>15</v>
      </c>
      <c r="H85" s="2">
        <v>2709.13</v>
      </c>
      <c r="I85" s="2">
        <v>25</v>
      </c>
      <c r="J85" s="2">
        <v>1094.52</v>
      </c>
    </row>
    <row r="86" spans="1:10" ht="15.75" customHeight="1" x14ac:dyDescent="0.25">
      <c r="A86" s="2" t="s">
        <v>121</v>
      </c>
      <c r="B86" s="3">
        <v>45042</v>
      </c>
      <c r="C86" s="2" t="s">
        <v>11</v>
      </c>
      <c r="D86" s="2" t="s">
        <v>31</v>
      </c>
      <c r="E86" s="2" t="s">
        <v>23</v>
      </c>
      <c r="F86" s="2" t="s">
        <v>32</v>
      </c>
      <c r="G86" s="2" t="s">
        <v>15</v>
      </c>
      <c r="H86" s="2">
        <v>3324.74</v>
      </c>
      <c r="I86" s="2">
        <v>30</v>
      </c>
      <c r="J86" s="2">
        <v>-66.69</v>
      </c>
    </row>
    <row r="87" spans="1:10" ht="15.75" customHeight="1" x14ac:dyDescent="0.25">
      <c r="A87" s="2" t="s">
        <v>122</v>
      </c>
      <c r="B87" s="3">
        <v>45043</v>
      </c>
      <c r="C87" s="2" t="s">
        <v>40</v>
      </c>
      <c r="D87" s="2" t="s">
        <v>31</v>
      </c>
      <c r="E87" s="2" t="s">
        <v>29</v>
      </c>
      <c r="F87" s="2" t="s">
        <v>70</v>
      </c>
      <c r="G87" s="2" t="s">
        <v>33</v>
      </c>
      <c r="H87" s="2">
        <v>1127.6400000000001</v>
      </c>
      <c r="I87" s="2">
        <v>2</v>
      </c>
      <c r="J87" s="2">
        <v>264.95</v>
      </c>
    </row>
    <row r="88" spans="1:10" ht="15.75" customHeight="1" x14ac:dyDescent="0.25">
      <c r="A88" s="2" t="s">
        <v>123</v>
      </c>
      <c r="B88" s="3">
        <v>45044</v>
      </c>
      <c r="C88" s="2" t="s">
        <v>11</v>
      </c>
      <c r="D88" s="2" t="s">
        <v>22</v>
      </c>
      <c r="E88" s="2" t="s">
        <v>23</v>
      </c>
      <c r="F88" s="2" t="s">
        <v>32</v>
      </c>
      <c r="G88" s="2" t="s">
        <v>20</v>
      </c>
      <c r="H88" s="2">
        <v>1705.39</v>
      </c>
      <c r="I88" s="2">
        <v>20</v>
      </c>
      <c r="J88" s="2">
        <v>1378.96</v>
      </c>
    </row>
    <row r="89" spans="1:10" ht="15.75" customHeight="1" x14ac:dyDescent="0.25">
      <c r="A89" s="2" t="s">
        <v>124</v>
      </c>
      <c r="B89" s="3">
        <v>45045</v>
      </c>
      <c r="C89" s="2" t="s">
        <v>11</v>
      </c>
      <c r="D89" s="2" t="s">
        <v>31</v>
      </c>
      <c r="E89" s="2" t="s">
        <v>38</v>
      </c>
      <c r="F89" s="2" t="s">
        <v>14</v>
      </c>
      <c r="G89" s="2" t="s">
        <v>15</v>
      </c>
      <c r="H89" s="2">
        <v>2797.49</v>
      </c>
      <c r="I89" s="2">
        <v>42</v>
      </c>
      <c r="J89" s="2">
        <v>1094.23</v>
      </c>
    </row>
    <row r="90" spans="1:10" ht="15.75" customHeight="1" x14ac:dyDescent="0.25">
      <c r="A90" s="2" t="s">
        <v>125</v>
      </c>
      <c r="B90" s="3">
        <v>45046</v>
      </c>
      <c r="C90" s="2" t="s">
        <v>40</v>
      </c>
      <c r="D90" s="2" t="s">
        <v>28</v>
      </c>
      <c r="E90" s="2" t="s">
        <v>23</v>
      </c>
      <c r="F90" s="2" t="s">
        <v>32</v>
      </c>
      <c r="G90" s="2" t="s">
        <v>33</v>
      </c>
      <c r="H90" s="2">
        <v>2990.93</v>
      </c>
      <c r="I90" s="2">
        <v>47</v>
      </c>
      <c r="J90" s="2">
        <v>-21.57</v>
      </c>
    </row>
    <row r="91" spans="1:10" ht="15.75" customHeight="1" x14ac:dyDescent="0.25">
      <c r="A91" s="2" t="s">
        <v>126</v>
      </c>
      <c r="B91" s="3">
        <v>45047</v>
      </c>
      <c r="C91" s="2" t="s">
        <v>17</v>
      </c>
      <c r="D91" s="2" t="s">
        <v>28</v>
      </c>
      <c r="E91" s="2" t="s">
        <v>13</v>
      </c>
      <c r="F91" s="2" t="s">
        <v>41</v>
      </c>
      <c r="G91" s="2" t="s">
        <v>33</v>
      </c>
      <c r="H91" s="2">
        <v>855.67</v>
      </c>
      <c r="I91" s="2">
        <v>33</v>
      </c>
      <c r="J91" s="2">
        <v>569.9</v>
      </c>
    </row>
    <row r="92" spans="1:10" ht="15.75" customHeight="1" x14ac:dyDescent="0.25">
      <c r="A92" s="2" t="s">
        <v>127</v>
      </c>
      <c r="B92" s="3">
        <v>45048</v>
      </c>
      <c r="C92" s="2" t="s">
        <v>11</v>
      </c>
      <c r="D92" s="2" t="s">
        <v>28</v>
      </c>
      <c r="E92" s="2" t="s">
        <v>18</v>
      </c>
      <c r="F92" s="2" t="s">
        <v>32</v>
      </c>
      <c r="G92" s="2" t="s">
        <v>25</v>
      </c>
      <c r="H92" s="2">
        <v>2112.8000000000002</v>
      </c>
      <c r="I92" s="2">
        <v>19</v>
      </c>
      <c r="J92" s="2">
        <v>1159.47</v>
      </c>
    </row>
    <row r="93" spans="1:10" ht="15.75" customHeight="1" x14ac:dyDescent="0.25">
      <c r="A93" s="2" t="s">
        <v>128</v>
      </c>
      <c r="B93" s="3">
        <v>45049</v>
      </c>
      <c r="C93" s="2" t="s">
        <v>40</v>
      </c>
      <c r="D93" s="2" t="s">
        <v>47</v>
      </c>
      <c r="E93" s="2" t="s">
        <v>13</v>
      </c>
      <c r="F93" s="2" t="s">
        <v>50</v>
      </c>
      <c r="G93" s="2" t="s">
        <v>33</v>
      </c>
      <c r="H93" s="2">
        <v>4998.6899999999996</v>
      </c>
      <c r="I93" s="2">
        <v>4</v>
      </c>
      <c r="J93" s="2">
        <v>1247.1400000000001</v>
      </c>
    </row>
    <row r="94" spans="1:10" ht="15.75" customHeight="1" x14ac:dyDescent="0.25">
      <c r="A94" s="2" t="s">
        <v>129</v>
      </c>
      <c r="B94" s="3">
        <v>45050</v>
      </c>
      <c r="C94" s="2" t="s">
        <v>27</v>
      </c>
      <c r="D94" s="2" t="s">
        <v>31</v>
      </c>
      <c r="E94" s="2" t="s">
        <v>18</v>
      </c>
      <c r="F94" s="2" t="s">
        <v>50</v>
      </c>
      <c r="G94" s="2" t="s">
        <v>20</v>
      </c>
      <c r="H94" s="2">
        <v>1679.93</v>
      </c>
      <c r="I94" s="2">
        <v>33</v>
      </c>
      <c r="J94" s="2">
        <v>635.98</v>
      </c>
    </row>
    <row r="95" spans="1:10" ht="15.75" customHeight="1" x14ac:dyDescent="0.25">
      <c r="A95" s="2" t="s">
        <v>130</v>
      </c>
      <c r="B95" s="3">
        <v>45051</v>
      </c>
      <c r="C95" s="2" t="s">
        <v>17</v>
      </c>
      <c r="D95" s="2" t="s">
        <v>12</v>
      </c>
      <c r="E95" s="2" t="s">
        <v>18</v>
      </c>
      <c r="F95" s="2" t="s">
        <v>24</v>
      </c>
      <c r="G95" s="2" t="s">
        <v>33</v>
      </c>
      <c r="H95" s="2">
        <v>3948.24</v>
      </c>
      <c r="I95" s="2">
        <v>25</v>
      </c>
      <c r="J95" s="2">
        <v>-117.4</v>
      </c>
    </row>
    <row r="96" spans="1:10" ht="15.75" customHeight="1" x14ac:dyDescent="0.25">
      <c r="A96" s="2" t="s">
        <v>131</v>
      </c>
      <c r="B96" s="3">
        <v>45052</v>
      </c>
      <c r="C96" s="2" t="s">
        <v>11</v>
      </c>
      <c r="D96" s="2" t="s">
        <v>22</v>
      </c>
      <c r="E96" s="2" t="s">
        <v>38</v>
      </c>
      <c r="F96" s="2" t="s">
        <v>32</v>
      </c>
      <c r="G96" s="2" t="s">
        <v>20</v>
      </c>
      <c r="H96" s="2">
        <v>1087.9100000000001</v>
      </c>
      <c r="I96" s="2">
        <v>36</v>
      </c>
      <c r="J96" s="2">
        <v>94.83</v>
      </c>
    </row>
    <row r="97" spans="1:10" ht="15.75" customHeight="1" x14ac:dyDescent="0.25">
      <c r="A97" s="2" t="s">
        <v>132</v>
      </c>
      <c r="B97" s="3">
        <v>45053</v>
      </c>
      <c r="C97" s="2" t="s">
        <v>40</v>
      </c>
      <c r="D97" s="2" t="s">
        <v>31</v>
      </c>
      <c r="E97" s="2" t="s">
        <v>18</v>
      </c>
      <c r="F97" s="2" t="s">
        <v>50</v>
      </c>
      <c r="G97" s="2" t="s">
        <v>15</v>
      </c>
      <c r="H97" s="2">
        <v>2359.85</v>
      </c>
      <c r="I97" s="2">
        <v>1</v>
      </c>
      <c r="J97" s="2">
        <v>-256</v>
      </c>
    </row>
    <row r="98" spans="1:10" ht="15.75" customHeight="1" x14ac:dyDescent="0.25">
      <c r="A98" s="2" t="s">
        <v>133</v>
      </c>
      <c r="B98" s="3">
        <v>45054</v>
      </c>
      <c r="C98" s="2" t="s">
        <v>40</v>
      </c>
      <c r="D98" s="2" t="s">
        <v>12</v>
      </c>
      <c r="E98" s="2" t="s">
        <v>13</v>
      </c>
      <c r="F98" s="2" t="s">
        <v>32</v>
      </c>
      <c r="G98" s="2" t="s">
        <v>35</v>
      </c>
      <c r="H98" s="2">
        <v>2639.03</v>
      </c>
      <c r="I98" s="2">
        <v>16</v>
      </c>
      <c r="J98" s="2">
        <v>-1.68</v>
      </c>
    </row>
    <row r="99" spans="1:10" ht="15.75" customHeight="1" x14ac:dyDescent="0.25">
      <c r="A99" s="2" t="s">
        <v>134</v>
      </c>
      <c r="B99" s="3">
        <v>45055</v>
      </c>
      <c r="C99" s="2" t="s">
        <v>17</v>
      </c>
      <c r="D99" s="2" t="s">
        <v>22</v>
      </c>
      <c r="E99" s="2" t="s">
        <v>29</v>
      </c>
      <c r="F99" s="2" t="s">
        <v>41</v>
      </c>
      <c r="G99" s="2" t="s">
        <v>15</v>
      </c>
      <c r="H99" s="2">
        <v>3020.49</v>
      </c>
      <c r="I99" s="2">
        <v>25</v>
      </c>
      <c r="J99" s="2">
        <v>-189.98</v>
      </c>
    </row>
    <row r="100" spans="1:10" ht="15.75" customHeight="1" x14ac:dyDescent="0.25">
      <c r="A100" s="2" t="s">
        <v>135</v>
      </c>
      <c r="B100" s="3">
        <v>45056</v>
      </c>
      <c r="C100" s="2" t="s">
        <v>17</v>
      </c>
      <c r="D100" s="2" t="s">
        <v>31</v>
      </c>
      <c r="E100" s="2" t="s">
        <v>38</v>
      </c>
      <c r="F100" s="2" t="s">
        <v>19</v>
      </c>
      <c r="G100" s="2" t="s">
        <v>25</v>
      </c>
      <c r="H100" s="2">
        <v>3616.5</v>
      </c>
      <c r="I100" s="2">
        <v>35</v>
      </c>
      <c r="J100" s="2">
        <v>960.01</v>
      </c>
    </row>
    <row r="101" spans="1:10" ht="15.75" customHeight="1" x14ac:dyDescent="0.25">
      <c r="A101" s="2" t="s">
        <v>136</v>
      </c>
      <c r="B101" s="3">
        <v>45057</v>
      </c>
      <c r="C101" s="2" t="s">
        <v>11</v>
      </c>
      <c r="D101" s="2" t="s">
        <v>31</v>
      </c>
      <c r="E101" s="2" t="s">
        <v>13</v>
      </c>
      <c r="F101" s="2" t="s">
        <v>32</v>
      </c>
      <c r="G101" s="2" t="s">
        <v>25</v>
      </c>
      <c r="H101" s="2">
        <v>3999.96</v>
      </c>
      <c r="I101" s="2">
        <v>11</v>
      </c>
      <c r="J101" s="2">
        <v>961.74</v>
      </c>
    </row>
    <row r="102" spans="1:10" ht="15.75" customHeight="1" x14ac:dyDescent="0.25">
      <c r="A102" s="2" t="s">
        <v>137</v>
      </c>
      <c r="B102" s="3">
        <v>45058</v>
      </c>
      <c r="C102" s="2" t="s">
        <v>40</v>
      </c>
      <c r="D102" s="2" t="s">
        <v>28</v>
      </c>
      <c r="E102" s="2" t="s">
        <v>29</v>
      </c>
      <c r="F102" s="2" t="s">
        <v>14</v>
      </c>
      <c r="G102" s="2" t="s">
        <v>20</v>
      </c>
      <c r="H102" s="2">
        <v>3530.81</v>
      </c>
      <c r="I102" s="2">
        <v>24</v>
      </c>
      <c r="J102" s="2">
        <v>497.97</v>
      </c>
    </row>
    <row r="103" spans="1:10" ht="15.75" customHeight="1" x14ac:dyDescent="0.25">
      <c r="A103" s="2" t="s">
        <v>138</v>
      </c>
      <c r="B103" s="3">
        <v>45059</v>
      </c>
      <c r="C103" s="2" t="s">
        <v>40</v>
      </c>
      <c r="D103" s="2" t="s">
        <v>22</v>
      </c>
      <c r="E103" s="2" t="s">
        <v>23</v>
      </c>
      <c r="F103" s="2" t="s">
        <v>32</v>
      </c>
      <c r="G103" s="2" t="s">
        <v>15</v>
      </c>
      <c r="H103" s="2">
        <v>4055.28</v>
      </c>
      <c r="I103" s="2">
        <v>35</v>
      </c>
      <c r="J103" s="2">
        <v>1285.74</v>
      </c>
    </row>
    <row r="104" spans="1:10" ht="15.75" customHeight="1" x14ac:dyDescent="0.25">
      <c r="A104" s="2" t="s">
        <v>139</v>
      </c>
      <c r="B104" s="3">
        <v>45060</v>
      </c>
      <c r="C104" s="2" t="s">
        <v>11</v>
      </c>
      <c r="D104" s="2" t="s">
        <v>28</v>
      </c>
      <c r="E104" s="2" t="s">
        <v>13</v>
      </c>
      <c r="F104" s="2" t="s">
        <v>24</v>
      </c>
      <c r="G104" s="2" t="s">
        <v>15</v>
      </c>
      <c r="H104" s="2">
        <v>4441.21</v>
      </c>
      <c r="I104" s="2">
        <v>21</v>
      </c>
      <c r="J104" s="2">
        <v>-36.68</v>
      </c>
    </row>
    <row r="105" spans="1:10" ht="15.75" customHeight="1" x14ac:dyDescent="0.25">
      <c r="A105" s="2" t="s">
        <v>140</v>
      </c>
      <c r="B105" s="3">
        <v>45061</v>
      </c>
      <c r="C105" s="2" t="s">
        <v>40</v>
      </c>
      <c r="D105" s="2" t="s">
        <v>22</v>
      </c>
      <c r="E105" s="2" t="s">
        <v>18</v>
      </c>
      <c r="F105" s="2" t="s">
        <v>19</v>
      </c>
      <c r="G105" s="2" t="s">
        <v>25</v>
      </c>
      <c r="H105" s="2">
        <v>1697.98</v>
      </c>
      <c r="I105" s="2">
        <v>4</v>
      </c>
      <c r="J105" s="2">
        <v>49.21</v>
      </c>
    </row>
    <row r="106" spans="1:10" ht="15.75" customHeight="1" x14ac:dyDescent="0.25">
      <c r="A106" s="2" t="s">
        <v>141</v>
      </c>
      <c r="B106" s="3">
        <v>45062</v>
      </c>
      <c r="C106" s="2" t="s">
        <v>27</v>
      </c>
      <c r="D106" s="2" t="s">
        <v>47</v>
      </c>
      <c r="E106" s="2" t="s">
        <v>18</v>
      </c>
      <c r="F106" s="2" t="s">
        <v>32</v>
      </c>
      <c r="G106" s="2" t="s">
        <v>20</v>
      </c>
      <c r="H106" s="2">
        <v>4153.82</v>
      </c>
      <c r="I106" s="2">
        <v>45</v>
      </c>
      <c r="J106" s="2">
        <v>800.53</v>
      </c>
    </row>
    <row r="107" spans="1:10" ht="15.75" customHeight="1" x14ac:dyDescent="0.25">
      <c r="A107" s="2" t="s">
        <v>142</v>
      </c>
      <c r="B107" s="3">
        <v>45063</v>
      </c>
      <c r="C107" s="2" t="s">
        <v>17</v>
      </c>
      <c r="D107" s="2" t="s">
        <v>12</v>
      </c>
      <c r="E107" s="2" t="s">
        <v>18</v>
      </c>
      <c r="F107" s="2" t="s">
        <v>41</v>
      </c>
      <c r="G107" s="2" t="s">
        <v>20</v>
      </c>
      <c r="H107" s="2">
        <v>2647.89</v>
      </c>
      <c r="I107" s="2">
        <v>14</v>
      </c>
      <c r="J107" s="2">
        <v>650.53</v>
      </c>
    </row>
    <row r="108" spans="1:10" ht="15.75" customHeight="1" x14ac:dyDescent="0.25">
      <c r="A108" s="2" t="s">
        <v>143</v>
      </c>
      <c r="B108" s="3">
        <v>45064</v>
      </c>
      <c r="C108" s="2" t="s">
        <v>17</v>
      </c>
      <c r="D108" s="2" t="s">
        <v>22</v>
      </c>
      <c r="E108" s="2" t="s">
        <v>13</v>
      </c>
      <c r="F108" s="2" t="s">
        <v>43</v>
      </c>
      <c r="G108" s="2" t="s">
        <v>35</v>
      </c>
      <c r="H108" s="2">
        <v>1371.2</v>
      </c>
      <c r="I108" s="2">
        <v>27</v>
      </c>
      <c r="J108" s="2">
        <v>-80.06</v>
      </c>
    </row>
    <row r="109" spans="1:10" ht="15.75" customHeight="1" x14ac:dyDescent="0.25">
      <c r="A109" s="2" t="s">
        <v>144</v>
      </c>
      <c r="B109" s="3">
        <v>45065</v>
      </c>
      <c r="C109" s="2" t="s">
        <v>40</v>
      </c>
      <c r="D109" s="2" t="s">
        <v>12</v>
      </c>
      <c r="E109" s="2" t="s">
        <v>23</v>
      </c>
      <c r="F109" s="2" t="s">
        <v>41</v>
      </c>
      <c r="G109" s="2" t="s">
        <v>35</v>
      </c>
      <c r="H109" s="2">
        <v>948.06</v>
      </c>
      <c r="I109" s="2">
        <v>33</v>
      </c>
      <c r="J109" s="2">
        <v>1332.33</v>
      </c>
    </row>
    <row r="110" spans="1:10" ht="15.75" customHeight="1" x14ac:dyDescent="0.25">
      <c r="A110" s="2" t="s">
        <v>145</v>
      </c>
      <c r="B110" s="3">
        <v>45066</v>
      </c>
      <c r="C110" s="2" t="s">
        <v>40</v>
      </c>
      <c r="D110" s="2" t="s">
        <v>22</v>
      </c>
      <c r="E110" s="2" t="s">
        <v>23</v>
      </c>
      <c r="F110" s="2" t="s">
        <v>19</v>
      </c>
      <c r="G110" s="2" t="s">
        <v>15</v>
      </c>
      <c r="H110" s="2">
        <v>3845.8</v>
      </c>
      <c r="I110" s="2">
        <v>16</v>
      </c>
      <c r="J110" s="2">
        <v>819.31</v>
      </c>
    </row>
    <row r="111" spans="1:10" ht="15.75" customHeight="1" x14ac:dyDescent="0.25">
      <c r="A111" s="2" t="s">
        <v>146</v>
      </c>
      <c r="B111" s="3">
        <v>45067</v>
      </c>
      <c r="C111" s="2" t="s">
        <v>40</v>
      </c>
      <c r="D111" s="2" t="s">
        <v>47</v>
      </c>
      <c r="E111" s="2" t="s">
        <v>18</v>
      </c>
      <c r="F111" s="2" t="s">
        <v>24</v>
      </c>
      <c r="G111" s="2" t="s">
        <v>20</v>
      </c>
      <c r="H111" s="2">
        <v>3219.5</v>
      </c>
      <c r="I111" s="2">
        <v>44</v>
      </c>
      <c r="J111" s="2">
        <v>794.31</v>
      </c>
    </row>
    <row r="112" spans="1:10" ht="15.75" customHeight="1" x14ac:dyDescent="0.25">
      <c r="A112" s="2" t="s">
        <v>147</v>
      </c>
      <c r="B112" s="3">
        <v>45068</v>
      </c>
      <c r="C112" s="2" t="s">
        <v>40</v>
      </c>
      <c r="D112" s="2" t="s">
        <v>22</v>
      </c>
      <c r="E112" s="2" t="s">
        <v>29</v>
      </c>
      <c r="F112" s="2" t="s">
        <v>32</v>
      </c>
      <c r="G112" s="2" t="s">
        <v>15</v>
      </c>
      <c r="H112" s="2">
        <v>446.58</v>
      </c>
      <c r="I112" s="2">
        <v>2</v>
      </c>
      <c r="J112" s="2">
        <v>371.6</v>
      </c>
    </row>
    <row r="113" spans="1:10" ht="15.75" customHeight="1" x14ac:dyDescent="0.25">
      <c r="A113" s="2" t="s">
        <v>148</v>
      </c>
      <c r="B113" s="3">
        <v>45069</v>
      </c>
      <c r="C113" s="2" t="s">
        <v>11</v>
      </c>
      <c r="D113" s="2" t="s">
        <v>31</v>
      </c>
      <c r="E113" s="2" t="s">
        <v>29</v>
      </c>
      <c r="F113" s="2" t="s">
        <v>43</v>
      </c>
      <c r="G113" s="2" t="s">
        <v>25</v>
      </c>
      <c r="H113" s="2">
        <v>2978.52</v>
      </c>
      <c r="I113" s="2">
        <v>33</v>
      </c>
      <c r="J113" s="2">
        <v>791.17</v>
      </c>
    </row>
    <row r="114" spans="1:10" ht="15.75" customHeight="1" x14ac:dyDescent="0.25">
      <c r="A114" s="2" t="s">
        <v>149</v>
      </c>
      <c r="B114" s="3">
        <v>45070</v>
      </c>
      <c r="C114" s="2" t="s">
        <v>11</v>
      </c>
      <c r="D114" s="2" t="s">
        <v>28</v>
      </c>
      <c r="E114" s="2" t="s">
        <v>13</v>
      </c>
      <c r="F114" s="2" t="s">
        <v>32</v>
      </c>
      <c r="G114" s="2" t="s">
        <v>25</v>
      </c>
      <c r="H114" s="2">
        <v>318.27999999999997</v>
      </c>
      <c r="I114" s="2">
        <v>2</v>
      </c>
      <c r="J114" s="2">
        <v>-171.29</v>
      </c>
    </row>
    <row r="115" spans="1:10" ht="15.75" customHeight="1" x14ac:dyDescent="0.25">
      <c r="A115" s="2" t="s">
        <v>150</v>
      </c>
      <c r="B115" s="3">
        <v>45071</v>
      </c>
      <c r="C115" s="2" t="s">
        <v>27</v>
      </c>
      <c r="D115" s="2" t="s">
        <v>47</v>
      </c>
      <c r="E115" s="2" t="s">
        <v>23</v>
      </c>
      <c r="F115" s="2" t="s">
        <v>19</v>
      </c>
      <c r="G115" s="2" t="s">
        <v>35</v>
      </c>
      <c r="H115" s="2">
        <v>2017.15</v>
      </c>
      <c r="I115" s="2">
        <v>23</v>
      </c>
      <c r="J115" s="2">
        <v>242.17</v>
      </c>
    </row>
    <row r="116" spans="1:10" ht="15.75" customHeight="1" x14ac:dyDescent="0.25">
      <c r="A116" s="2" t="s">
        <v>151</v>
      </c>
      <c r="B116" s="3">
        <v>45072</v>
      </c>
      <c r="C116" s="2" t="s">
        <v>17</v>
      </c>
      <c r="D116" s="2" t="s">
        <v>31</v>
      </c>
      <c r="E116" s="2" t="s">
        <v>23</v>
      </c>
      <c r="F116" s="2" t="s">
        <v>70</v>
      </c>
      <c r="G116" s="2" t="s">
        <v>33</v>
      </c>
      <c r="H116" s="2">
        <v>2898.69</v>
      </c>
      <c r="I116" s="2">
        <v>2</v>
      </c>
      <c r="J116" s="2">
        <v>840.08</v>
      </c>
    </row>
    <row r="117" spans="1:10" ht="15.75" customHeight="1" x14ac:dyDescent="0.25">
      <c r="A117" s="2" t="s">
        <v>152</v>
      </c>
      <c r="B117" s="3">
        <v>45073</v>
      </c>
      <c r="C117" s="2" t="s">
        <v>40</v>
      </c>
      <c r="D117" s="2" t="s">
        <v>22</v>
      </c>
      <c r="E117" s="2" t="s">
        <v>23</v>
      </c>
      <c r="F117" s="2" t="s">
        <v>14</v>
      </c>
      <c r="G117" s="2" t="s">
        <v>25</v>
      </c>
      <c r="H117" s="2">
        <v>3285.95</v>
      </c>
      <c r="I117" s="2">
        <v>22</v>
      </c>
      <c r="J117" s="2">
        <v>777.68</v>
      </c>
    </row>
    <row r="118" spans="1:10" ht="15.75" customHeight="1" x14ac:dyDescent="0.25">
      <c r="A118" s="2" t="s">
        <v>153</v>
      </c>
      <c r="B118" s="3">
        <v>45074</v>
      </c>
      <c r="C118" s="2" t="s">
        <v>11</v>
      </c>
      <c r="D118" s="2" t="s">
        <v>28</v>
      </c>
      <c r="E118" s="2" t="s">
        <v>29</v>
      </c>
      <c r="F118" s="2" t="s">
        <v>19</v>
      </c>
      <c r="G118" s="2" t="s">
        <v>15</v>
      </c>
      <c r="H118" s="2">
        <v>873.48</v>
      </c>
      <c r="I118" s="2">
        <v>42</v>
      </c>
      <c r="J118" s="2">
        <v>646.84</v>
      </c>
    </row>
    <row r="119" spans="1:10" ht="15.75" customHeight="1" x14ac:dyDescent="0.25">
      <c r="A119" s="2" t="s">
        <v>154</v>
      </c>
      <c r="B119" s="3">
        <v>45075</v>
      </c>
      <c r="C119" s="2" t="s">
        <v>11</v>
      </c>
      <c r="D119" s="2" t="s">
        <v>28</v>
      </c>
      <c r="E119" s="2" t="s">
        <v>38</v>
      </c>
      <c r="F119" s="2" t="s">
        <v>24</v>
      </c>
      <c r="G119" s="2" t="s">
        <v>15</v>
      </c>
      <c r="H119" s="2">
        <v>319.7</v>
      </c>
      <c r="I119" s="2">
        <v>37</v>
      </c>
      <c r="J119" s="2">
        <v>-204.43</v>
      </c>
    </row>
    <row r="120" spans="1:10" ht="15.75" customHeight="1" x14ac:dyDescent="0.25">
      <c r="A120" s="2" t="s">
        <v>155</v>
      </c>
      <c r="B120" s="3">
        <v>45076</v>
      </c>
      <c r="C120" s="2" t="s">
        <v>40</v>
      </c>
      <c r="D120" s="2" t="s">
        <v>12</v>
      </c>
      <c r="E120" s="2" t="s">
        <v>18</v>
      </c>
      <c r="F120" s="2" t="s">
        <v>41</v>
      </c>
      <c r="G120" s="2" t="s">
        <v>20</v>
      </c>
      <c r="H120" s="2">
        <v>2922.52</v>
      </c>
      <c r="I120" s="2">
        <v>15</v>
      </c>
      <c r="J120" s="2">
        <v>278.93</v>
      </c>
    </row>
    <row r="121" spans="1:10" ht="15.75" customHeight="1" x14ac:dyDescent="0.25">
      <c r="A121" s="2" t="s">
        <v>156</v>
      </c>
      <c r="B121" s="3">
        <v>45077</v>
      </c>
      <c r="C121" s="2" t="s">
        <v>27</v>
      </c>
      <c r="D121" s="2" t="s">
        <v>28</v>
      </c>
      <c r="E121" s="2" t="s">
        <v>18</v>
      </c>
      <c r="F121" s="2" t="s">
        <v>19</v>
      </c>
      <c r="G121" s="2" t="s">
        <v>20</v>
      </c>
      <c r="H121" s="2">
        <v>4112.04</v>
      </c>
      <c r="I121" s="2">
        <v>9</v>
      </c>
      <c r="J121" s="2">
        <v>1472.13</v>
      </c>
    </row>
    <row r="122" spans="1:10" ht="15.75" customHeight="1" x14ac:dyDescent="0.25">
      <c r="A122" s="2" t="s">
        <v>157</v>
      </c>
      <c r="B122" s="3">
        <v>45078</v>
      </c>
      <c r="C122" s="2" t="s">
        <v>11</v>
      </c>
      <c r="D122" s="2" t="s">
        <v>12</v>
      </c>
      <c r="E122" s="2" t="s">
        <v>13</v>
      </c>
      <c r="F122" s="2" t="s">
        <v>50</v>
      </c>
      <c r="G122" s="2" t="s">
        <v>15</v>
      </c>
      <c r="H122" s="2">
        <v>4003.4</v>
      </c>
      <c r="I122" s="2">
        <v>29</v>
      </c>
      <c r="J122" s="2">
        <v>1397.74</v>
      </c>
    </row>
    <row r="123" spans="1:10" ht="15.75" customHeight="1" x14ac:dyDescent="0.25">
      <c r="A123" s="2" t="s">
        <v>158</v>
      </c>
      <c r="B123" s="3">
        <v>45079</v>
      </c>
      <c r="C123" s="2" t="s">
        <v>27</v>
      </c>
      <c r="D123" s="2" t="s">
        <v>28</v>
      </c>
      <c r="E123" s="2" t="s">
        <v>13</v>
      </c>
      <c r="F123" s="2" t="s">
        <v>41</v>
      </c>
      <c r="G123" s="2" t="s">
        <v>20</v>
      </c>
      <c r="H123" s="2">
        <v>1862.33</v>
      </c>
      <c r="I123" s="2">
        <v>20</v>
      </c>
      <c r="J123" s="2">
        <v>1176.4100000000001</v>
      </c>
    </row>
    <row r="124" spans="1:10" ht="15.75" customHeight="1" x14ac:dyDescent="0.25">
      <c r="A124" s="2" t="s">
        <v>159</v>
      </c>
      <c r="B124" s="3">
        <v>45080</v>
      </c>
      <c r="C124" s="2" t="s">
        <v>17</v>
      </c>
      <c r="D124" s="2" t="s">
        <v>31</v>
      </c>
      <c r="E124" s="2" t="s">
        <v>29</v>
      </c>
      <c r="F124" s="2" t="s">
        <v>19</v>
      </c>
      <c r="G124" s="2" t="s">
        <v>35</v>
      </c>
      <c r="H124" s="2">
        <v>2927.06</v>
      </c>
      <c r="I124" s="2">
        <v>4</v>
      </c>
      <c r="J124" s="2">
        <v>-185.23</v>
      </c>
    </row>
    <row r="125" spans="1:10" ht="15.75" customHeight="1" x14ac:dyDescent="0.25">
      <c r="A125" s="2" t="s">
        <v>160</v>
      </c>
      <c r="B125" s="3">
        <v>45081</v>
      </c>
      <c r="C125" s="2" t="s">
        <v>40</v>
      </c>
      <c r="D125" s="2" t="s">
        <v>31</v>
      </c>
      <c r="E125" s="2" t="s">
        <v>38</v>
      </c>
      <c r="F125" s="2" t="s">
        <v>43</v>
      </c>
      <c r="G125" s="2" t="s">
        <v>35</v>
      </c>
      <c r="H125" s="2">
        <v>3621.62</v>
      </c>
      <c r="I125" s="2">
        <v>10</v>
      </c>
      <c r="J125" s="2">
        <v>-167.73</v>
      </c>
    </row>
    <row r="126" spans="1:10" ht="15.75" customHeight="1" x14ac:dyDescent="0.25">
      <c r="A126" s="2" t="s">
        <v>161</v>
      </c>
      <c r="B126" s="3">
        <v>45082</v>
      </c>
      <c r="C126" s="2" t="s">
        <v>17</v>
      </c>
      <c r="D126" s="2" t="s">
        <v>12</v>
      </c>
      <c r="E126" s="2" t="s">
        <v>13</v>
      </c>
      <c r="F126" s="2" t="s">
        <v>32</v>
      </c>
      <c r="G126" s="2" t="s">
        <v>33</v>
      </c>
      <c r="H126" s="2">
        <v>4378.62</v>
      </c>
      <c r="I126" s="2">
        <v>27</v>
      </c>
      <c r="J126" s="2">
        <v>82.8</v>
      </c>
    </row>
    <row r="127" spans="1:10" ht="15.75" customHeight="1" x14ac:dyDescent="0.25">
      <c r="A127" s="2" t="s">
        <v>162</v>
      </c>
      <c r="B127" s="3">
        <v>45083</v>
      </c>
      <c r="C127" s="2" t="s">
        <v>40</v>
      </c>
      <c r="D127" s="2" t="s">
        <v>28</v>
      </c>
      <c r="E127" s="2" t="s">
        <v>13</v>
      </c>
      <c r="F127" s="2" t="s">
        <v>24</v>
      </c>
      <c r="G127" s="2" t="s">
        <v>35</v>
      </c>
      <c r="H127" s="2">
        <v>2508.9699999999998</v>
      </c>
      <c r="I127" s="2">
        <v>24</v>
      </c>
      <c r="J127" s="2">
        <v>1189.96</v>
      </c>
    </row>
    <row r="128" spans="1:10" ht="15.75" customHeight="1" x14ac:dyDescent="0.25">
      <c r="A128" s="2" t="s">
        <v>163</v>
      </c>
      <c r="B128" s="3">
        <v>45084</v>
      </c>
      <c r="C128" s="2" t="s">
        <v>11</v>
      </c>
      <c r="D128" s="2" t="s">
        <v>22</v>
      </c>
      <c r="E128" s="2" t="s">
        <v>18</v>
      </c>
      <c r="F128" s="2" t="s">
        <v>24</v>
      </c>
      <c r="G128" s="2" t="s">
        <v>25</v>
      </c>
      <c r="H128" s="2">
        <v>4389.95</v>
      </c>
      <c r="I128" s="2">
        <v>44</v>
      </c>
      <c r="J128" s="2">
        <v>67.06</v>
      </c>
    </row>
    <row r="129" spans="1:10" ht="15.75" customHeight="1" x14ac:dyDescent="0.25">
      <c r="A129" s="2" t="s">
        <v>164</v>
      </c>
      <c r="B129" s="3">
        <v>45085</v>
      </c>
      <c r="C129" s="2" t="s">
        <v>17</v>
      </c>
      <c r="D129" s="2" t="s">
        <v>12</v>
      </c>
      <c r="E129" s="2" t="s">
        <v>38</v>
      </c>
      <c r="F129" s="2" t="s">
        <v>32</v>
      </c>
      <c r="G129" s="2" t="s">
        <v>15</v>
      </c>
      <c r="H129" s="2">
        <v>1656.87</v>
      </c>
      <c r="I129" s="2">
        <v>2</v>
      </c>
      <c r="J129" s="2">
        <v>105.55</v>
      </c>
    </row>
    <row r="130" spans="1:10" ht="15.75" customHeight="1" x14ac:dyDescent="0.25">
      <c r="A130" s="2" t="s">
        <v>165</v>
      </c>
      <c r="B130" s="3">
        <v>45086</v>
      </c>
      <c r="C130" s="2" t="s">
        <v>27</v>
      </c>
      <c r="D130" s="2" t="s">
        <v>31</v>
      </c>
      <c r="E130" s="2" t="s">
        <v>18</v>
      </c>
      <c r="F130" s="2" t="s">
        <v>14</v>
      </c>
      <c r="G130" s="2" t="s">
        <v>15</v>
      </c>
      <c r="H130" s="2">
        <v>1174.3399999999999</v>
      </c>
      <c r="I130" s="2">
        <v>48</v>
      </c>
      <c r="J130" s="2">
        <v>168.72</v>
      </c>
    </row>
    <row r="131" spans="1:10" ht="15.75" customHeight="1" x14ac:dyDescent="0.25">
      <c r="A131" s="2" t="s">
        <v>166</v>
      </c>
      <c r="B131" s="3">
        <v>45087</v>
      </c>
      <c r="C131" s="2" t="s">
        <v>11</v>
      </c>
      <c r="D131" s="2" t="s">
        <v>12</v>
      </c>
      <c r="E131" s="2" t="s">
        <v>13</v>
      </c>
      <c r="F131" s="2" t="s">
        <v>41</v>
      </c>
      <c r="G131" s="2" t="s">
        <v>33</v>
      </c>
      <c r="H131" s="2">
        <v>1541.2</v>
      </c>
      <c r="I131" s="2">
        <v>24</v>
      </c>
      <c r="J131" s="2">
        <v>1019.79</v>
      </c>
    </row>
    <row r="132" spans="1:10" ht="15.75" customHeight="1" x14ac:dyDescent="0.25">
      <c r="A132" s="2" t="s">
        <v>167</v>
      </c>
      <c r="B132" s="3">
        <v>45088</v>
      </c>
      <c r="C132" s="2" t="s">
        <v>17</v>
      </c>
      <c r="D132" s="2" t="s">
        <v>31</v>
      </c>
      <c r="E132" s="2" t="s">
        <v>29</v>
      </c>
      <c r="F132" s="2" t="s">
        <v>41</v>
      </c>
      <c r="G132" s="2" t="s">
        <v>25</v>
      </c>
      <c r="H132" s="2">
        <v>3675.86</v>
      </c>
      <c r="I132" s="2">
        <v>28</v>
      </c>
      <c r="J132" s="2">
        <v>649.64</v>
      </c>
    </row>
    <row r="133" spans="1:10" ht="15.75" customHeight="1" x14ac:dyDescent="0.25">
      <c r="A133" s="2" t="s">
        <v>168</v>
      </c>
      <c r="B133" s="3">
        <v>45089</v>
      </c>
      <c r="C133" s="2" t="s">
        <v>11</v>
      </c>
      <c r="D133" s="2" t="s">
        <v>22</v>
      </c>
      <c r="E133" s="2" t="s">
        <v>18</v>
      </c>
      <c r="F133" s="2" t="s">
        <v>24</v>
      </c>
      <c r="G133" s="2" t="s">
        <v>15</v>
      </c>
      <c r="H133" s="2">
        <v>4437.1899999999996</v>
      </c>
      <c r="I133" s="2">
        <v>47</v>
      </c>
      <c r="J133" s="2">
        <v>1248.95</v>
      </c>
    </row>
    <row r="134" spans="1:10" ht="15.75" customHeight="1" x14ac:dyDescent="0.25">
      <c r="A134" s="2" t="s">
        <v>169</v>
      </c>
      <c r="B134" s="3">
        <v>45090</v>
      </c>
      <c r="C134" s="2" t="s">
        <v>40</v>
      </c>
      <c r="D134" s="2" t="s">
        <v>28</v>
      </c>
      <c r="E134" s="2" t="s">
        <v>23</v>
      </c>
      <c r="F134" s="2" t="s">
        <v>24</v>
      </c>
      <c r="G134" s="2" t="s">
        <v>33</v>
      </c>
      <c r="H134" s="2">
        <v>2408.79</v>
      </c>
      <c r="I134" s="2">
        <v>46</v>
      </c>
      <c r="J134" s="2">
        <v>-163.12</v>
      </c>
    </row>
    <row r="135" spans="1:10" ht="15.75" customHeight="1" x14ac:dyDescent="0.25">
      <c r="A135" s="2" t="s">
        <v>170</v>
      </c>
      <c r="B135" s="3">
        <v>45091</v>
      </c>
      <c r="C135" s="2" t="s">
        <v>27</v>
      </c>
      <c r="D135" s="2" t="s">
        <v>22</v>
      </c>
      <c r="E135" s="2" t="s">
        <v>13</v>
      </c>
      <c r="F135" s="2" t="s">
        <v>24</v>
      </c>
      <c r="G135" s="2" t="s">
        <v>20</v>
      </c>
      <c r="H135" s="2">
        <v>3510</v>
      </c>
      <c r="I135" s="2">
        <v>43</v>
      </c>
      <c r="J135" s="2">
        <v>-207.2</v>
      </c>
    </row>
    <row r="136" spans="1:10" ht="15.75" customHeight="1" x14ac:dyDescent="0.25">
      <c r="A136" s="2" t="s">
        <v>171</v>
      </c>
      <c r="B136" s="3">
        <v>45092</v>
      </c>
      <c r="C136" s="2" t="s">
        <v>40</v>
      </c>
      <c r="D136" s="2" t="s">
        <v>47</v>
      </c>
      <c r="E136" s="2" t="s">
        <v>23</v>
      </c>
      <c r="F136" s="2" t="s">
        <v>41</v>
      </c>
      <c r="G136" s="2" t="s">
        <v>25</v>
      </c>
      <c r="H136" s="2">
        <v>780.19</v>
      </c>
      <c r="I136" s="2">
        <v>19</v>
      </c>
      <c r="J136" s="2">
        <v>1223.27</v>
      </c>
    </row>
    <row r="137" spans="1:10" ht="15.75" customHeight="1" x14ac:dyDescent="0.25">
      <c r="A137" s="2" t="s">
        <v>172</v>
      </c>
      <c r="B137" s="3">
        <v>45093</v>
      </c>
      <c r="C137" s="2" t="s">
        <v>11</v>
      </c>
      <c r="D137" s="2" t="s">
        <v>28</v>
      </c>
      <c r="E137" s="2" t="s">
        <v>13</v>
      </c>
      <c r="F137" s="2" t="s">
        <v>24</v>
      </c>
      <c r="G137" s="2" t="s">
        <v>20</v>
      </c>
      <c r="H137" s="2">
        <v>2586.4</v>
      </c>
      <c r="I137" s="2">
        <v>28</v>
      </c>
      <c r="J137" s="2">
        <v>-103.86</v>
      </c>
    </row>
    <row r="138" spans="1:10" ht="15.75" customHeight="1" x14ac:dyDescent="0.25">
      <c r="A138" s="2" t="s">
        <v>173</v>
      </c>
      <c r="B138" s="3">
        <v>45094</v>
      </c>
      <c r="C138" s="2" t="s">
        <v>27</v>
      </c>
      <c r="D138" s="2" t="s">
        <v>47</v>
      </c>
      <c r="E138" s="2" t="s">
        <v>38</v>
      </c>
      <c r="F138" s="2" t="s">
        <v>70</v>
      </c>
      <c r="G138" s="2" t="s">
        <v>35</v>
      </c>
      <c r="H138" s="2">
        <v>2230.7199999999998</v>
      </c>
      <c r="I138" s="2">
        <v>11</v>
      </c>
      <c r="J138" s="2">
        <v>986.89</v>
      </c>
    </row>
    <row r="139" spans="1:10" ht="15.75" customHeight="1" x14ac:dyDescent="0.25">
      <c r="A139" s="2" t="s">
        <v>174</v>
      </c>
      <c r="B139" s="3">
        <v>45095</v>
      </c>
      <c r="C139" s="2" t="s">
        <v>27</v>
      </c>
      <c r="D139" s="2" t="s">
        <v>31</v>
      </c>
      <c r="E139" s="2" t="s">
        <v>13</v>
      </c>
      <c r="F139" s="2" t="s">
        <v>14</v>
      </c>
      <c r="G139" s="2" t="s">
        <v>35</v>
      </c>
      <c r="H139" s="2">
        <v>2214.86</v>
      </c>
      <c r="I139" s="2">
        <v>32</v>
      </c>
      <c r="J139" s="2">
        <v>788.22</v>
      </c>
    </row>
    <row r="140" spans="1:10" ht="15.75" customHeight="1" x14ac:dyDescent="0.25">
      <c r="A140" s="2" t="s">
        <v>175</v>
      </c>
      <c r="B140" s="3">
        <v>45096</v>
      </c>
      <c r="C140" s="2" t="s">
        <v>17</v>
      </c>
      <c r="D140" s="2" t="s">
        <v>28</v>
      </c>
      <c r="E140" s="2" t="s">
        <v>18</v>
      </c>
      <c r="F140" s="2" t="s">
        <v>70</v>
      </c>
      <c r="G140" s="2" t="s">
        <v>25</v>
      </c>
      <c r="H140" s="2">
        <v>1021.42</v>
      </c>
      <c r="I140" s="2">
        <v>21</v>
      </c>
      <c r="J140" s="2">
        <v>73.05</v>
      </c>
    </row>
    <row r="141" spans="1:10" ht="15.75" customHeight="1" x14ac:dyDescent="0.25">
      <c r="A141" s="2" t="s">
        <v>176</v>
      </c>
      <c r="B141" s="3">
        <v>45097</v>
      </c>
      <c r="C141" s="2" t="s">
        <v>11</v>
      </c>
      <c r="D141" s="2" t="s">
        <v>31</v>
      </c>
      <c r="E141" s="2" t="s">
        <v>23</v>
      </c>
      <c r="F141" s="2" t="s">
        <v>41</v>
      </c>
      <c r="G141" s="2" t="s">
        <v>35</v>
      </c>
      <c r="H141" s="2">
        <v>3151.63</v>
      </c>
      <c r="I141" s="2">
        <v>4</v>
      </c>
      <c r="J141" s="2">
        <v>168.38</v>
      </c>
    </row>
    <row r="142" spans="1:10" ht="15.75" customHeight="1" x14ac:dyDescent="0.25">
      <c r="A142" s="2" t="s">
        <v>177</v>
      </c>
      <c r="B142" s="3">
        <v>45098</v>
      </c>
      <c r="C142" s="2" t="s">
        <v>40</v>
      </c>
      <c r="D142" s="2" t="s">
        <v>31</v>
      </c>
      <c r="E142" s="2" t="s">
        <v>18</v>
      </c>
      <c r="F142" s="2" t="s">
        <v>43</v>
      </c>
      <c r="G142" s="2" t="s">
        <v>35</v>
      </c>
      <c r="H142" s="2">
        <v>3393.15</v>
      </c>
      <c r="I142" s="2">
        <v>41</v>
      </c>
      <c r="J142" s="2">
        <v>1031.54</v>
      </c>
    </row>
    <row r="143" spans="1:10" ht="15.75" customHeight="1" x14ac:dyDescent="0.25">
      <c r="A143" s="2" t="s">
        <v>178</v>
      </c>
      <c r="B143" s="3">
        <v>45099</v>
      </c>
      <c r="C143" s="2" t="s">
        <v>17</v>
      </c>
      <c r="D143" s="2" t="s">
        <v>31</v>
      </c>
      <c r="E143" s="2" t="s">
        <v>23</v>
      </c>
      <c r="F143" s="2" t="s">
        <v>24</v>
      </c>
      <c r="G143" s="2" t="s">
        <v>15</v>
      </c>
      <c r="H143" s="2">
        <v>3217.99</v>
      </c>
      <c r="I143" s="2">
        <v>40</v>
      </c>
      <c r="J143" s="2">
        <v>-260.95</v>
      </c>
    </row>
    <row r="144" spans="1:10" ht="15.75" customHeight="1" x14ac:dyDescent="0.25">
      <c r="A144" s="2" t="s">
        <v>179</v>
      </c>
      <c r="B144" s="3">
        <v>45100</v>
      </c>
      <c r="C144" s="2" t="s">
        <v>11</v>
      </c>
      <c r="D144" s="2" t="s">
        <v>22</v>
      </c>
      <c r="E144" s="2" t="s">
        <v>29</v>
      </c>
      <c r="F144" s="2" t="s">
        <v>50</v>
      </c>
      <c r="G144" s="2" t="s">
        <v>15</v>
      </c>
      <c r="H144" s="2">
        <v>3739.51</v>
      </c>
      <c r="I144" s="2">
        <v>27</v>
      </c>
      <c r="J144" s="2">
        <v>1420.2</v>
      </c>
    </row>
    <row r="145" spans="1:10" ht="15.75" customHeight="1" x14ac:dyDescent="0.25">
      <c r="A145" s="2" t="s">
        <v>180</v>
      </c>
      <c r="B145" s="3">
        <v>45101</v>
      </c>
      <c r="C145" s="2" t="s">
        <v>11</v>
      </c>
      <c r="D145" s="2" t="s">
        <v>28</v>
      </c>
      <c r="E145" s="2" t="s">
        <v>29</v>
      </c>
      <c r="F145" s="2" t="s">
        <v>24</v>
      </c>
      <c r="G145" s="2" t="s">
        <v>33</v>
      </c>
      <c r="H145" s="2">
        <v>2345.29</v>
      </c>
      <c r="I145" s="2">
        <v>33</v>
      </c>
      <c r="J145" s="2">
        <v>-219.12</v>
      </c>
    </row>
    <row r="146" spans="1:10" ht="15.75" customHeight="1" x14ac:dyDescent="0.25">
      <c r="A146" s="2" t="s">
        <v>181</v>
      </c>
      <c r="B146" s="3">
        <v>45102</v>
      </c>
      <c r="C146" s="2" t="s">
        <v>17</v>
      </c>
      <c r="D146" s="2" t="s">
        <v>22</v>
      </c>
      <c r="E146" s="2" t="s">
        <v>13</v>
      </c>
      <c r="F146" s="2" t="s">
        <v>50</v>
      </c>
      <c r="G146" s="2" t="s">
        <v>33</v>
      </c>
      <c r="H146" s="2">
        <v>4277.74</v>
      </c>
      <c r="I146" s="2">
        <v>40</v>
      </c>
      <c r="J146" s="2">
        <v>-9</v>
      </c>
    </row>
    <row r="147" spans="1:10" ht="15.75" customHeight="1" x14ac:dyDescent="0.25">
      <c r="A147" s="2" t="s">
        <v>182</v>
      </c>
      <c r="B147" s="3">
        <v>45103</v>
      </c>
      <c r="C147" s="2" t="s">
        <v>40</v>
      </c>
      <c r="D147" s="2" t="s">
        <v>28</v>
      </c>
      <c r="E147" s="2" t="s">
        <v>13</v>
      </c>
      <c r="F147" s="2" t="s">
        <v>24</v>
      </c>
      <c r="G147" s="2" t="s">
        <v>33</v>
      </c>
      <c r="H147" s="2">
        <v>2898.94</v>
      </c>
      <c r="I147" s="2">
        <v>14</v>
      </c>
      <c r="J147" s="2">
        <v>851.91</v>
      </c>
    </row>
    <row r="148" spans="1:10" ht="15.75" customHeight="1" x14ac:dyDescent="0.25">
      <c r="A148" s="2" t="s">
        <v>183</v>
      </c>
      <c r="B148" s="3">
        <v>45104</v>
      </c>
      <c r="C148" s="2" t="s">
        <v>27</v>
      </c>
      <c r="D148" s="2" t="s">
        <v>22</v>
      </c>
      <c r="E148" s="2" t="s">
        <v>29</v>
      </c>
      <c r="F148" s="2" t="s">
        <v>41</v>
      </c>
      <c r="G148" s="2" t="s">
        <v>35</v>
      </c>
      <c r="H148" s="2">
        <v>4420.87</v>
      </c>
      <c r="I148" s="2">
        <v>8</v>
      </c>
      <c r="J148" s="2">
        <v>-94.12</v>
      </c>
    </row>
    <row r="149" spans="1:10" ht="15.75" customHeight="1" x14ac:dyDescent="0.25">
      <c r="A149" s="2" t="s">
        <v>184</v>
      </c>
      <c r="B149" s="3">
        <v>45105</v>
      </c>
      <c r="C149" s="2" t="s">
        <v>40</v>
      </c>
      <c r="D149" s="2" t="s">
        <v>31</v>
      </c>
      <c r="E149" s="2" t="s">
        <v>23</v>
      </c>
      <c r="F149" s="2" t="s">
        <v>70</v>
      </c>
      <c r="G149" s="2" t="s">
        <v>15</v>
      </c>
      <c r="H149" s="2">
        <v>2109.7600000000002</v>
      </c>
      <c r="I149" s="2">
        <v>27</v>
      </c>
      <c r="J149" s="2">
        <v>1495.82</v>
      </c>
    </row>
    <row r="150" spans="1:10" ht="15.75" customHeight="1" x14ac:dyDescent="0.25">
      <c r="A150" s="2" t="s">
        <v>185</v>
      </c>
      <c r="B150" s="3">
        <v>45106</v>
      </c>
      <c r="C150" s="2" t="s">
        <v>17</v>
      </c>
      <c r="D150" s="2" t="s">
        <v>47</v>
      </c>
      <c r="E150" s="2" t="s">
        <v>38</v>
      </c>
      <c r="F150" s="2" t="s">
        <v>50</v>
      </c>
      <c r="G150" s="2" t="s">
        <v>20</v>
      </c>
      <c r="H150" s="2">
        <v>3530.68</v>
      </c>
      <c r="I150" s="2">
        <v>47</v>
      </c>
      <c r="J150" s="2">
        <v>479.4</v>
      </c>
    </row>
    <row r="151" spans="1:10" ht="15.75" customHeight="1" x14ac:dyDescent="0.25">
      <c r="A151" s="2" t="s">
        <v>186</v>
      </c>
      <c r="B151" s="3">
        <v>45107</v>
      </c>
      <c r="C151" s="2" t="s">
        <v>40</v>
      </c>
      <c r="D151" s="2" t="s">
        <v>31</v>
      </c>
      <c r="E151" s="2" t="s">
        <v>13</v>
      </c>
      <c r="F151" s="2" t="s">
        <v>70</v>
      </c>
      <c r="G151" s="2" t="s">
        <v>33</v>
      </c>
      <c r="H151" s="2">
        <v>1064.3399999999999</v>
      </c>
      <c r="I151" s="2">
        <v>25</v>
      </c>
      <c r="J151" s="2">
        <v>-175.88</v>
      </c>
    </row>
    <row r="152" spans="1:10" ht="15.75" customHeight="1" x14ac:dyDescent="0.25">
      <c r="A152" s="2" t="s">
        <v>187</v>
      </c>
      <c r="B152" s="3">
        <v>45108</v>
      </c>
      <c r="C152" s="2" t="s">
        <v>17</v>
      </c>
      <c r="D152" s="2" t="s">
        <v>31</v>
      </c>
      <c r="E152" s="2" t="s">
        <v>23</v>
      </c>
      <c r="F152" s="2" t="s">
        <v>50</v>
      </c>
      <c r="G152" s="2" t="s">
        <v>25</v>
      </c>
      <c r="H152" s="2">
        <v>507.03</v>
      </c>
      <c r="I152" s="2">
        <v>28</v>
      </c>
      <c r="J152" s="2">
        <v>-2.96</v>
      </c>
    </row>
    <row r="153" spans="1:10" ht="15.75" customHeight="1" x14ac:dyDescent="0.25">
      <c r="A153" s="2" t="s">
        <v>188</v>
      </c>
      <c r="B153" s="3">
        <v>45109</v>
      </c>
      <c r="C153" s="2" t="s">
        <v>27</v>
      </c>
      <c r="D153" s="2" t="s">
        <v>31</v>
      </c>
      <c r="E153" s="2" t="s">
        <v>29</v>
      </c>
      <c r="F153" s="2" t="s">
        <v>14</v>
      </c>
      <c r="G153" s="2" t="s">
        <v>15</v>
      </c>
      <c r="H153" s="2">
        <v>4664.3599999999997</v>
      </c>
      <c r="I153" s="2">
        <v>49</v>
      </c>
      <c r="J153" s="2">
        <v>676.07</v>
      </c>
    </row>
    <row r="154" spans="1:10" ht="15.75" customHeight="1" x14ac:dyDescent="0.25">
      <c r="A154" s="2" t="s">
        <v>189</v>
      </c>
      <c r="B154" s="3">
        <v>45110</v>
      </c>
      <c r="C154" s="2" t="s">
        <v>27</v>
      </c>
      <c r="D154" s="2" t="s">
        <v>12</v>
      </c>
      <c r="E154" s="2" t="s">
        <v>29</v>
      </c>
      <c r="F154" s="2" t="s">
        <v>70</v>
      </c>
      <c r="G154" s="2" t="s">
        <v>15</v>
      </c>
      <c r="H154" s="2">
        <v>1917.1</v>
      </c>
      <c r="I154" s="2">
        <v>18</v>
      </c>
      <c r="J154" s="2">
        <v>1266.53</v>
      </c>
    </row>
    <row r="155" spans="1:10" ht="15.75" customHeight="1" x14ac:dyDescent="0.25">
      <c r="A155" s="2" t="s">
        <v>190</v>
      </c>
      <c r="B155" s="3">
        <v>45111</v>
      </c>
      <c r="C155" s="2" t="s">
        <v>17</v>
      </c>
      <c r="D155" s="2" t="s">
        <v>31</v>
      </c>
      <c r="E155" s="2" t="s">
        <v>29</v>
      </c>
      <c r="F155" s="2" t="s">
        <v>43</v>
      </c>
      <c r="G155" s="2" t="s">
        <v>25</v>
      </c>
      <c r="H155" s="2">
        <v>323.92</v>
      </c>
      <c r="I155" s="2">
        <v>30</v>
      </c>
      <c r="J155" s="2">
        <v>162.68</v>
      </c>
    </row>
    <row r="156" spans="1:10" ht="15.75" customHeight="1" x14ac:dyDescent="0.25">
      <c r="A156" s="2" t="s">
        <v>191</v>
      </c>
      <c r="B156" s="3">
        <v>45112</v>
      </c>
      <c r="C156" s="2" t="s">
        <v>27</v>
      </c>
      <c r="D156" s="2" t="s">
        <v>47</v>
      </c>
      <c r="E156" s="2" t="s">
        <v>38</v>
      </c>
      <c r="F156" s="2" t="s">
        <v>14</v>
      </c>
      <c r="G156" s="2" t="s">
        <v>33</v>
      </c>
      <c r="H156" s="2">
        <v>3130.42</v>
      </c>
      <c r="I156" s="2">
        <v>30</v>
      </c>
      <c r="J156" s="2">
        <v>418.88</v>
      </c>
    </row>
    <row r="157" spans="1:10" ht="15.75" customHeight="1" x14ac:dyDescent="0.25">
      <c r="A157" s="2" t="s">
        <v>192</v>
      </c>
      <c r="B157" s="3">
        <v>45113</v>
      </c>
      <c r="C157" s="2" t="s">
        <v>40</v>
      </c>
      <c r="D157" s="2" t="s">
        <v>22</v>
      </c>
      <c r="E157" s="2" t="s">
        <v>18</v>
      </c>
      <c r="F157" s="2" t="s">
        <v>24</v>
      </c>
      <c r="G157" s="2" t="s">
        <v>25</v>
      </c>
      <c r="H157" s="2">
        <v>4672.9799999999996</v>
      </c>
      <c r="I157" s="2">
        <v>22</v>
      </c>
      <c r="J157" s="2">
        <v>724.14</v>
      </c>
    </row>
    <row r="158" spans="1:10" ht="15.75" customHeight="1" x14ac:dyDescent="0.25">
      <c r="A158" s="2" t="s">
        <v>193</v>
      </c>
      <c r="B158" s="3">
        <v>45114</v>
      </c>
      <c r="C158" s="2" t="s">
        <v>11</v>
      </c>
      <c r="D158" s="2" t="s">
        <v>31</v>
      </c>
      <c r="E158" s="2" t="s">
        <v>38</v>
      </c>
      <c r="F158" s="2" t="s">
        <v>32</v>
      </c>
      <c r="G158" s="2" t="s">
        <v>35</v>
      </c>
      <c r="H158" s="2">
        <v>3868.14</v>
      </c>
      <c r="I158" s="2">
        <v>12</v>
      </c>
      <c r="J158" s="2">
        <v>871.24</v>
      </c>
    </row>
    <row r="159" spans="1:10" ht="15.75" customHeight="1" x14ac:dyDescent="0.25">
      <c r="A159" s="2" t="s">
        <v>194</v>
      </c>
      <c r="B159" s="3">
        <v>45115</v>
      </c>
      <c r="C159" s="2" t="s">
        <v>17</v>
      </c>
      <c r="D159" s="2" t="s">
        <v>47</v>
      </c>
      <c r="E159" s="2" t="s">
        <v>23</v>
      </c>
      <c r="F159" s="2" t="s">
        <v>19</v>
      </c>
      <c r="G159" s="2" t="s">
        <v>33</v>
      </c>
      <c r="H159" s="2">
        <v>4937.51</v>
      </c>
      <c r="I159" s="2">
        <v>35</v>
      </c>
      <c r="J159" s="2">
        <v>1001.89</v>
      </c>
    </row>
    <row r="160" spans="1:10" ht="15.75" customHeight="1" x14ac:dyDescent="0.25">
      <c r="A160" s="2" t="s">
        <v>195</v>
      </c>
      <c r="B160" s="3">
        <v>45116</v>
      </c>
      <c r="C160" s="2" t="s">
        <v>17</v>
      </c>
      <c r="D160" s="2" t="s">
        <v>47</v>
      </c>
      <c r="E160" s="2" t="s">
        <v>38</v>
      </c>
      <c r="F160" s="2" t="s">
        <v>70</v>
      </c>
      <c r="G160" s="2" t="s">
        <v>20</v>
      </c>
      <c r="H160" s="2">
        <v>4682.07</v>
      </c>
      <c r="I160" s="2">
        <v>48</v>
      </c>
      <c r="J160" s="2">
        <v>284.56</v>
      </c>
    </row>
    <row r="161" spans="1:10" ht="15.75" customHeight="1" x14ac:dyDescent="0.25">
      <c r="A161" s="2" t="s">
        <v>196</v>
      </c>
      <c r="B161" s="3">
        <v>45117</v>
      </c>
      <c r="C161" s="2" t="s">
        <v>11</v>
      </c>
      <c r="D161" s="2" t="s">
        <v>28</v>
      </c>
      <c r="E161" s="2" t="s">
        <v>23</v>
      </c>
      <c r="F161" s="2" t="s">
        <v>70</v>
      </c>
      <c r="G161" s="2" t="s">
        <v>25</v>
      </c>
      <c r="H161" s="2">
        <v>2332.11</v>
      </c>
      <c r="I161" s="2">
        <v>7</v>
      </c>
      <c r="J161" s="2">
        <v>367.15</v>
      </c>
    </row>
    <row r="162" spans="1:10" ht="15.75" customHeight="1" x14ac:dyDescent="0.25">
      <c r="A162" s="2" t="s">
        <v>197</v>
      </c>
      <c r="B162" s="3">
        <v>45118</v>
      </c>
      <c r="C162" s="2" t="s">
        <v>11</v>
      </c>
      <c r="D162" s="2" t="s">
        <v>47</v>
      </c>
      <c r="E162" s="2" t="s">
        <v>29</v>
      </c>
      <c r="F162" s="2" t="s">
        <v>14</v>
      </c>
      <c r="G162" s="2" t="s">
        <v>35</v>
      </c>
      <c r="H162" s="2">
        <v>1246.1600000000001</v>
      </c>
      <c r="I162" s="2">
        <v>6</v>
      </c>
      <c r="J162" s="2">
        <v>1272.49</v>
      </c>
    </row>
    <row r="163" spans="1:10" ht="15.75" customHeight="1" x14ac:dyDescent="0.25">
      <c r="A163" s="2" t="s">
        <v>198</v>
      </c>
      <c r="B163" s="3">
        <v>45119</v>
      </c>
      <c r="C163" s="2" t="s">
        <v>11</v>
      </c>
      <c r="D163" s="2" t="s">
        <v>28</v>
      </c>
      <c r="E163" s="2" t="s">
        <v>13</v>
      </c>
      <c r="F163" s="2" t="s">
        <v>50</v>
      </c>
      <c r="G163" s="2" t="s">
        <v>33</v>
      </c>
      <c r="H163" s="2">
        <v>419.67</v>
      </c>
      <c r="I163" s="2">
        <v>10</v>
      </c>
      <c r="J163" s="2">
        <v>1330.95</v>
      </c>
    </row>
    <row r="164" spans="1:10" ht="15.75" customHeight="1" x14ac:dyDescent="0.25">
      <c r="A164" s="2" t="s">
        <v>199</v>
      </c>
      <c r="B164" s="3">
        <v>45120</v>
      </c>
      <c r="C164" s="2" t="s">
        <v>17</v>
      </c>
      <c r="D164" s="2" t="s">
        <v>22</v>
      </c>
      <c r="E164" s="2" t="s">
        <v>18</v>
      </c>
      <c r="F164" s="2" t="s">
        <v>14</v>
      </c>
      <c r="G164" s="2" t="s">
        <v>35</v>
      </c>
      <c r="H164" s="2">
        <v>1433.41</v>
      </c>
      <c r="I164" s="2">
        <v>11</v>
      </c>
      <c r="J164" s="2">
        <v>451.32</v>
      </c>
    </row>
    <row r="165" spans="1:10" ht="15.75" customHeight="1" x14ac:dyDescent="0.25">
      <c r="A165" s="2" t="s">
        <v>200</v>
      </c>
      <c r="B165" s="3">
        <v>45121</v>
      </c>
      <c r="C165" s="2" t="s">
        <v>40</v>
      </c>
      <c r="D165" s="2" t="s">
        <v>22</v>
      </c>
      <c r="E165" s="2" t="s">
        <v>23</v>
      </c>
      <c r="F165" s="2" t="s">
        <v>32</v>
      </c>
      <c r="G165" s="2" t="s">
        <v>25</v>
      </c>
      <c r="H165" s="2">
        <v>3197.55</v>
      </c>
      <c r="I165" s="2">
        <v>14</v>
      </c>
      <c r="J165" s="2">
        <v>1493.79</v>
      </c>
    </row>
    <row r="166" spans="1:10" ht="15.75" customHeight="1" x14ac:dyDescent="0.25">
      <c r="A166" s="2" t="s">
        <v>201</v>
      </c>
      <c r="B166" s="3">
        <v>45122</v>
      </c>
      <c r="C166" s="2" t="s">
        <v>27</v>
      </c>
      <c r="D166" s="2" t="s">
        <v>22</v>
      </c>
      <c r="E166" s="2" t="s">
        <v>23</v>
      </c>
      <c r="F166" s="2" t="s">
        <v>41</v>
      </c>
      <c r="G166" s="2" t="s">
        <v>35</v>
      </c>
      <c r="H166" s="2">
        <v>4563.37</v>
      </c>
      <c r="I166" s="2">
        <v>2</v>
      </c>
      <c r="J166" s="2">
        <v>15.32</v>
      </c>
    </row>
    <row r="167" spans="1:10" ht="15.75" customHeight="1" x14ac:dyDescent="0.25">
      <c r="A167" s="2" t="s">
        <v>202</v>
      </c>
      <c r="B167" s="3">
        <v>45123</v>
      </c>
      <c r="C167" s="2" t="s">
        <v>11</v>
      </c>
      <c r="D167" s="2" t="s">
        <v>47</v>
      </c>
      <c r="E167" s="2" t="s">
        <v>38</v>
      </c>
      <c r="F167" s="2" t="s">
        <v>24</v>
      </c>
      <c r="G167" s="2" t="s">
        <v>15</v>
      </c>
      <c r="H167" s="2">
        <v>108.37</v>
      </c>
      <c r="I167" s="2">
        <v>36</v>
      </c>
      <c r="J167" s="2">
        <v>1181.92</v>
      </c>
    </row>
    <row r="168" spans="1:10" ht="15.75" customHeight="1" x14ac:dyDescent="0.25">
      <c r="A168" s="2" t="s">
        <v>203</v>
      </c>
      <c r="B168" s="3">
        <v>45124</v>
      </c>
      <c r="C168" s="2" t="s">
        <v>27</v>
      </c>
      <c r="D168" s="2" t="s">
        <v>28</v>
      </c>
      <c r="E168" s="2" t="s">
        <v>29</v>
      </c>
      <c r="F168" s="2" t="s">
        <v>24</v>
      </c>
      <c r="G168" s="2" t="s">
        <v>15</v>
      </c>
      <c r="H168" s="2">
        <v>4105.67</v>
      </c>
      <c r="I168" s="2">
        <v>6</v>
      </c>
      <c r="J168" s="2">
        <v>1336.06</v>
      </c>
    </row>
    <row r="169" spans="1:10" ht="15.75" customHeight="1" x14ac:dyDescent="0.25">
      <c r="A169" s="2" t="s">
        <v>204</v>
      </c>
      <c r="B169" s="3">
        <v>45125</v>
      </c>
      <c r="C169" s="2" t="s">
        <v>40</v>
      </c>
      <c r="D169" s="2" t="s">
        <v>31</v>
      </c>
      <c r="E169" s="2" t="s">
        <v>38</v>
      </c>
      <c r="F169" s="2" t="s">
        <v>50</v>
      </c>
      <c r="G169" s="2" t="s">
        <v>15</v>
      </c>
      <c r="H169" s="2">
        <v>3845.88</v>
      </c>
      <c r="I169" s="2">
        <v>5</v>
      </c>
      <c r="J169" s="2">
        <v>716.39</v>
      </c>
    </row>
    <row r="170" spans="1:10" ht="15.75" customHeight="1" x14ac:dyDescent="0.25">
      <c r="A170" s="2" t="s">
        <v>205</v>
      </c>
      <c r="B170" s="3">
        <v>45126</v>
      </c>
      <c r="C170" s="2" t="s">
        <v>27</v>
      </c>
      <c r="D170" s="2" t="s">
        <v>47</v>
      </c>
      <c r="E170" s="2" t="s">
        <v>13</v>
      </c>
      <c r="F170" s="2" t="s">
        <v>24</v>
      </c>
      <c r="G170" s="2" t="s">
        <v>20</v>
      </c>
      <c r="H170" s="2">
        <v>3485.81</v>
      </c>
      <c r="I170" s="2">
        <v>12</v>
      </c>
      <c r="J170" s="2">
        <v>945.46</v>
      </c>
    </row>
    <row r="171" spans="1:10" ht="15.75" customHeight="1" x14ac:dyDescent="0.25">
      <c r="A171" s="2" t="s">
        <v>206</v>
      </c>
      <c r="B171" s="3">
        <v>45127</v>
      </c>
      <c r="C171" s="2" t="s">
        <v>11</v>
      </c>
      <c r="D171" s="2" t="s">
        <v>22</v>
      </c>
      <c r="E171" s="2" t="s">
        <v>18</v>
      </c>
      <c r="F171" s="2" t="s">
        <v>50</v>
      </c>
      <c r="G171" s="2" t="s">
        <v>33</v>
      </c>
      <c r="H171" s="2">
        <v>726.6</v>
      </c>
      <c r="I171" s="2">
        <v>49</v>
      </c>
      <c r="J171" s="2">
        <v>-191.82</v>
      </c>
    </row>
    <row r="172" spans="1:10" ht="15.75" customHeight="1" x14ac:dyDescent="0.25">
      <c r="A172" s="2" t="s">
        <v>207</v>
      </c>
      <c r="B172" s="3">
        <v>45128</v>
      </c>
      <c r="C172" s="2" t="s">
        <v>40</v>
      </c>
      <c r="D172" s="2" t="s">
        <v>47</v>
      </c>
      <c r="E172" s="2" t="s">
        <v>18</v>
      </c>
      <c r="F172" s="2" t="s">
        <v>41</v>
      </c>
      <c r="G172" s="2" t="s">
        <v>15</v>
      </c>
      <c r="H172" s="2">
        <v>360.95</v>
      </c>
      <c r="I172" s="2">
        <v>19</v>
      </c>
      <c r="J172" s="2">
        <v>1216.74</v>
      </c>
    </row>
    <row r="173" spans="1:10" ht="15.75" customHeight="1" x14ac:dyDescent="0.25">
      <c r="A173" s="2" t="s">
        <v>208</v>
      </c>
      <c r="B173" s="3">
        <v>45129</v>
      </c>
      <c r="C173" s="2" t="s">
        <v>40</v>
      </c>
      <c r="D173" s="2" t="s">
        <v>47</v>
      </c>
      <c r="E173" s="2" t="s">
        <v>23</v>
      </c>
      <c r="F173" s="2" t="s">
        <v>19</v>
      </c>
      <c r="G173" s="2" t="s">
        <v>33</v>
      </c>
      <c r="H173" s="2">
        <v>3710.1</v>
      </c>
      <c r="I173" s="2">
        <v>10</v>
      </c>
      <c r="J173" s="2">
        <v>929.69</v>
      </c>
    </row>
    <row r="174" spans="1:10" ht="15.75" customHeight="1" x14ac:dyDescent="0.25">
      <c r="A174" s="2" t="s">
        <v>209</v>
      </c>
      <c r="B174" s="3">
        <v>45130</v>
      </c>
      <c r="C174" s="2" t="s">
        <v>11</v>
      </c>
      <c r="D174" s="2" t="s">
        <v>28</v>
      </c>
      <c r="E174" s="2" t="s">
        <v>29</v>
      </c>
      <c r="F174" s="2" t="s">
        <v>14</v>
      </c>
      <c r="G174" s="2" t="s">
        <v>35</v>
      </c>
      <c r="H174" s="2">
        <v>3242.91</v>
      </c>
      <c r="I174" s="2">
        <v>5</v>
      </c>
      <c r="J174" s="2">
        <v>741.16</v>
      </c>
    </row>
    <row r="175" spans="1:10" ht="15.75" customHeight="1" x14ac:dyDescent="0.25">
      <c r="A175" s="2" t="s">
        <v>210</v>
      </c>
      <c r="B175" s="3">
        <v>45131</v>
      </c>
      <c r="C175" s="2" t="s">
        <v>17</v>
      </c>
      <c r="D175" s="2" t="s">
        <v>12</v>
      </c>
      <c r="E175" s="2" t="s">
        <v>38</v>
      </c>
      <c r="F175" s="2" t="s">
        <v>43</v>
      </c>
      <c r="G175" s="2" t="s">
        <v>25</v>
      </c>
      <c r="H175" s="2">
        <v>1912.5</v>
      </c>
      <c r="I175" s="2">
        <v>28</v>
      </c>
      <c r="J175" s="2">
        <v>746.22</v>
      </c>
    </row>
    <row r="176" spans="1:10" ht="15.75" customHeight="1" x14ac:dyDescent="0.25">
      <c r="A176" s="2" t="s">
        <v>211</v>
      </c>
      <c r="B176" s="3">
        <v>45132</v>
      </c>
      <c r="C176" s="2" t="s">
        <v>17</v>
      </c>
      <c r="D176" s="2" t="s">
        <v>12</v>
      </c>
      <c r="E176" s="2" t="s">
        <v>29</v>
      </c>
      <c r="F176" s="2" t="s">
        <v>24</v>
      </c>
      <c r="G176" s="2" t="s">
        <v>25</v>
      </c>
      <c r="H176" s="2">
        <v>1792.99</v>
      </c>
      <c r="I176" s="2">
        <v>49</v>
      </c>
      <c r="J176" s="2">
        <v>-12.12</v>
      </c>
    </row>
    <row r="177" spans="1:10" ht="15.75" customHeight="1" x14ac:dyDescent="0.25">
      <c r="A177" s="2" t="s">
        <v>212</v>
      </c>
      <c r="B177" s="3">
        <v>45133</v>
      </c>
      <c r="C177" s="2" t="s">
        <v>17</v>
      </c>
      <c r="D177" s="2" t="s">
        <v>22</v>
      </c>
      <c r="E177" s="2" t="s">
        <v>13</v>
      </c>
      <c r="F177" s="2" t="s">
        <v>43</v>
      </c>
      <c r="G177" s="2" t="s">
        <v>15</v>
      </c>
      <c r="H177" s="2">
        <v>259.95</v>
      </c>
      <c r="I177" s="2">
        <v>26</v>
      </c>
      <c r="J177" s="2">
        <v>1225.1400000000001</v>
      </c>
    </row>
    <row r="178" spans="1:10" ht="15.75" customHeight="1" x14ac:dyDescent="0.25">
      <c r="A178" s="2" t="s">
        <v>213</v>
      </c>
      <c r="B178" s="3">
        <v>45134</v>
      </c>
      <c r="C178" s="2" t="s">
        <v>40</v>
      </c>
      <c r="D178" s="2" t="s">
        <v>22</v>
      </c>
      <c r="E178" s="2" t="s">
        <v>18</v>
      </c>
      <c r="F178" s="2" t="s">
        <v>32</v>
      </c>
      <c r="G178" s="2" t="s">
        <v>25</v>
      </c>
      <c r="H178" s="2">
        <v>4967.83</v>
      </c>
      <c r="I178" s="2">
        <v>3</v>
      </c>
      <c r="J178" s="2">
        <v>652.41999999999996</v>
      </c>
    </row>
    <row r="179" spans="1:10" ht="15.75" customHeight="1" x14ac:dyDescent="0.25">
      <c r="A179" s="2" t="s">
        <v>214</v>
      </c>
      <c r="B179" s="3">
        <v>45135</v>
      </c>
      <c r="C179" s="2" t="s">
        <v>27</v>
      </c>
      <c r="D179" s="2" t="s">
        <v>31</v>
      </c>
      <c r="E179" s="2" t="s">
        <v>18</v>
      </c>
      <c r="F179" s="2" t="s">
        <v>50</v>
      </c>
      <c r="G179" s="2" t="s">
        <v>15</v>
      </c>
      <c r="H179" s="2">
        <v>4199.55</v>
      </c>
      <c r="I179" s="2">
        <v>40</v>
      </c>
      <c r="J179" s="2">
        <v>794.25</v>
      </c>
    </row>
    <row r="180" spans="1:10" ht="15.75" customHeight="1" x14ac:dyDescent="0.25">
      <c r="A180" s="2" t="s">
        <v>215</v>
      </c>
      <c r="B180" s="3">
        <v>45136</v>
      </c>
      <c r="C180" s="2" t="s">
        <v>11</v>
      </c>
      <c r="D180" s="2" t="s">
        <v>28</v>
      </c>
      <c r="E180" s="2" t="s">
        <v>18</v>
      </c>
      <c r="F180" s="2" t="s">
        <v>19</v>
      </c>
      <c r="G180" s="2" t="s">
        <v>33</v>
      </c>
      <c r="H180" s="2">
        <v>4873.53</v>
      </c>
      <c r="I180" s="2">
        <v>42</v>
      </c>
      <c r="J180" s="2">
        <v>6.15</v>
      </c>
    </row>
    <row r="181" spans="1:10" ht="15.75" customHeight="1" x14ac:dyDescent="0.25">
      <c r="A181" s="2" t="s">
        <v>216</v>
      </c>
      <c r="B181" s="3">
        <v>45137</v>
      </c>
      <c r="C181" s="2" t="s">
        <v>11</v>
      </c>
      <c r="D181" s="2" t="s">
        <v>31</v>
      </c>
      <c r="E181" s="2" t="s">
        <v>23</v>
      </c>
      <c r="F181" s="2" t="s">
        <v>50</v>
      </c>
      <c r="G181" s="2" t="s">
        <v>20</v>
      </c>
      <c r="H181" s="2">
        <v>4108.38</v>
      </c>
      <c r="I181" s="2">
        <v>17</v>
      </c>
      <c r="J181" s="2">
        <v>830.63</v>
      </c>
    </row>
    <row r="182" spans="1:10" ht="15.75" customHeight="1" x14ac:dyDescent="0.25">
      <c r="A182" s="2" t="s">
        <v>217</v>
      </c>
      <c r="B182" s="3">
        <v>45138</v>
      </c>
      <c r="C182" s="2" t="s">
        <v>27</v>
      </c>
      <c r="D182" s="2" t="s">
        <v>12</v>
      </c>
      <c r="E182" s="2" t="s">
        <v>29</v>
      </c>
      <c r="F182" s="2" t="s">
        <v>32</v>
      </c>
      <c r="G182" s="2" t="s">
        <v>25</v>
      </c>
      <c r="H182" s="2">
        <v>2348.38</v>
      </c>
      <c r="I182" s="2">
        <v>2</v>
      </c>
      <c r="J182" s="2">
        <v>129.04</v>
      </c>
    </row>
    <row r="183" spans="1:10" ht="15.75" customHeight="1" x14ac:dyDescent="0.25">
      <c r="A183" s="2" t="s">
        <v>218</v>
      </c>
      <c r="B183" s="3">
        <v>45139</v>
      </c>
      <c r="C183" s="2" t="s">
        <v>27</v>
      </c>
      <c r="D183" s="2" t="s">
        <v>47</v>
      </c>
      <c r="E183" s="2" t="s">
        <v>29</v>
      </c>
      <c r="F183" s="2" t="s">
        <v>70</v>
      </c>
      <c r="G183" s="2" t="s">
        <v>35</v>
      </c>
      <c r="H183" s="2">
        <v>4241.3100000000004</v>
      </c>
      <c r="I183" s="2">
        <v>45</v>
      </c>
      <c r="J183" s="2">
        <v>1072.27</v>
      </c>
    </row>
    <row r="184" spans="1:10" ht="15.75" customHeight="1" x14ac:dyDescent="0.25">
      <c r="A184" s="2" t="s">
        <v>219</v>
      </c>
      <c r="B184" s="3">
        <v>45140</v>
      </c>
      <c r="C184" s="2" t="s">
        <v>27</v>
      </c>
      <c r="D184" s="2" t="s">
        <v>22</v>
      </c>
      <c r="E184" s="2" t="s">
        <v>23</v>
      </c>
      <c r="F184" s="2" t="s">
        <v>19</v>
      </c>
      <c r="G184" s="2" t="s">
        <v>20</v>
      </c>
      <c r="H184" s="2">
        <v>1071.95</v>
      </c>
      <c r="I184" s="2">
        <v>35</v>
      </c>
      <c r="J184" s="2">
        <v>-250.29</v>
      </c>
    </row>
    <row r="185" spans="1:10" ht="15.75" customHeight="1" x14ac:dyDescent="0.25">
      <c r="A185" s="2" t="s">
        <v>220</v>
      </c>
      <c r="B185" s="3">
        <v>45141</v>
      </c>
      <c r="C185" s="2" t="s">
        <v>11</v>
      </c>
      <c r="D185" s="2" t="s">
        <v>22</v>
      </c>
      <c r="E185" s="2" t="s">
        <v>13</v>
      </c>
      <c r="F185" s="2" t="s">
        <v>24</v>
      </c>
      <c r="G185" s="2" t="s">
        <v>20</v>
      </c>
      <c r="H185" s="2">
        <v>3395.13</v>
      </c>
      <c r="I185" s="2">
        <v>31</v>
      </c>
      <c r="J185" s="2">
        <v>-76.040000000000006</v>
      </c>
    </row>
    <row r="186" spans="1:10" ht="15.75" customHeight="1" x14ac:dyDescent="0.25">
      <c r="A186" s="2" t="s">
        <v>221</v>
      </c>
      <c r="B186" s="3">
        <v>45142</v>
      </c>
      <c r="C186" s="2" t="s">
        <v>17</v>
      </c>
      <c r="D186" s="2" t="s">
        <v>28</v>
      </c>
      <c r="E186" s="2" t="s">
        <v>23</v>
      </c>
      <c r="F186" s="2" t="s">
        <v>41</v>
      </c>
      <c r="G186" s="2" t="s">
        <v>33</v>
      </c>
      <c r="H186" s="2">
        <v>1262.3699999999999</v>
      </c>
      <c r="I186" s="2">
        <v>6</v>
      </c>
      <c r="J186" s="2">
        <v>80.040000000000006</v>
      </c>
    </row>
    <row r="187" spans="1:10" ht="15.75" customHeight="1" x14ac:dyDescent="0.25">
      <c r="A187" s="2" t="s">
        <v>222</v>
      </c>
      <c r="B187" s="3">
        <v>45143</v>
      </c>
      <c r="C187" s="2" t="s">
        <v>27</v>
      </c>
      <c r="D187" s="2" t="s">
        <v>12</v>
      </c>
      <c r="E187" s="2" t="s">
        <v>29</v>
      </c>
      <c r="F187" s="2" t="s">
        <v>24</v>
      </c>
      <c r="G187" s="2" t="s">
        <v>33</v>
      </c>
      <c r="H187" s="2">
        <v>2023.14</v>
      </c>
      <c r="I187" s="2">
        <v>47</v>
      </c>
      <c r="J187" s="2">
        <v>421.71</v>
      </c>
    </row>
    <row r="188" spans="1:10" ht="15.75" customHeight="1" x14ac:dyDescent="0.25">
      <c r="A188" s="2" t="s">
        <v>223</v>
      </c>
      <c r="B188" s="3">
        <v>45144</v>
      </c>
      <c r="C188" s="2" t="s">
        <v>27</v>
      </c>
      <c r="D188" s="2" t="s">
        <v>12</v>
      </c>
      <c r="E188" s="2" t="s">
        <v>23</v>
      </c>
      <c r="F188" s="2" t="s">
        <v>70</v>
      </c>
      <c r="G188" s="2" t="s">
        <v>20</v>
      </c>
      <c r="H188" s="2">
        <v>4371.2299999999996</v>
      </c>
      <c r="I188" s="2">
        <v>39</v>
      </c>
      <c r="J188" s="2">
        <v>1267.23</v>
      </c>
    </row>
    <row r="189" spans="1:10" ht="15.75" customHeight="1" x14ac:dyDescent="0.25">
      <c r="A189" s="2" t="s">
        <v>224</v>
      </c>
      <c r="B189" s="3">
        <v>45145</v>
      </c>
      <c r="C189" s="2" t="s">
        <v>11</v>
      </c>
      <c r="D189" s="2" t="s">
        <v>22</v>
      </c>
      <c r="E189" s="2" t="s">
        <v>23</v>
      </c>
      <c r="F189" s="2" t="s">
        <v>24</v>
      </c>
      <c r="G189" s="2" t="s">
        <v>33</v>
      </c>
      <c r="H189" s="2">
        <v>2182.2600000000002</v>
      </c>
      <c r="I189" s="2">
        <v>27</v>
      </c>
      <c r="J189" s="2">
        <v>-287.76</v>
      </c>
    </row>
    <row r="190" spans="1:10" ht="15.75" customHeight="1" x14ac:dyDescent="0.25">
      <c r="A190" s="2" t="s">
        <v>225</v>
      </c>
      <c r="B190" s="3">
        <v>45146</v>
      </c>
      <c r="C190" s="2" t="s">
        <v>17</v>
      </c>
      <c r="D190" s="2" t="s">
        <v>31</v>
      </c>
      <c r="E190" s="2" t="s">
        <v>29</v>
      </c>
      <c r="F190" s="2" t="s">
        <v>14</v>
      </c>
      <c r="G190" s="2" t="s">
        <v>15</v>
      </c>
      <c r="H190" s="2">
        <v>4479.21</v>
      </c>
      <c r="I190" s="2">
        <v>12</v>
      </c>
      <c r="J190" s="2">
        <v>700.69</v>
      </c>
    </row>
    <row r="191" spans="1:10" ht="15.75" customHeight="1" x14ac:dyDescent="0.25">
      <c r="A191" s="2" t="s">
        <v>226</v>
      </c>
      <c r="B191" s="3">
        <v>45147</v>
      </c>
      <c r="C191" s="2" t="s">
        <v>11</v>
      </c>
      <c r="D191" s="2" t="s">
        <v>22</v>
      </c>
      <c r="E191" s="2" t="s">
        <v>18</v>
      </c>
      <c r="F191" s="2" t="s">
        <v>32</v>
      </c>
      <c r="G191" s="2" t="s">
        <v>20</v>
      </c>
      <c r="H191" s="2">
        <v>3037.84</v>
      </c>
      <c r="I191" s="2">
        <v>4</v>
      </c>
      <c r="J191" s="2">
        <v>-235.19</v>
      </c>
    </row>
    <row r="192" spans="1:10" ht="15.75" customHeight="1" x14ac:dyDescent="0.25">
      <c r="A192" s="2" t="s">
        <v>227</v>
      </c>
      <c r="B192" s="3">
        <v>45148</v>
      </c>
      <c r="C192" s="2" t="s">
        <v>27</v>
      </c>
      <c r="D192" s="2" t="s">
        <v>31</v>
      </c>
      <c r="E192" s="2" t="s">
        <v>18</v>
      </c>
      <c r="F192" s="2" t="s">
        <v>43</v>
      </c>
      <c r="G192" s="2" t="s">
        <v>35</v>
      </c>
      <c r="H192" s="2">
        <v>1539.36</v>
      </c>
      <c r="I192" s="2">
        <v>34</v>
      </c>
      <c r="J192" s="2">
        <v>383.31</v>
      </c>
    </row>
    <row r="193" spans="1:10" ht="15.75" customHeight="1" x14ac:dyDescent="0.25">
      <c r="A193" s="2" t="s">
        <v>228</v>
      </c>
      <c r="B193" s="3">
        <v>45149</v>
      </c>
      <c r="C193" s="2" t="s">
        <v>27</v>
      </c>
      <c r="D193" s="2" t="s">
        <v>22</v>
      </c>
      <c r="E193" s="2" t="s">
        <v>38</v>
      </c>
      <c r="F193" s="2" t="s">
        <v>43</v>
      </c>
      <c r="G193" s="2" t="s">
        <v>20</v>
      </c>
      <c r="H193" s="2">
        <v>1375.75</v>
      </c>
      <c r="I193" s="2">
        <v>25</v>
      </c>
      <c r="J193" s="2">
        <v>236.69</v>
      </c>
    </row>
    <row r="194" spans="1:10" ht="15.75" customHeight="1" x14ac:dyDescent="0.25">
      <c r="A194" s="2" t="s">
        <v>229</v>
      </c>
      <c r="B194" s="3">
        <v>45150</v>
      </c>
      <c r="C194" s="2" t="s">
        <v>27</v>
      </c>
      <c r="D194" s="2" t="s">
        <v>31</v>
      </c>
      <c r="E194" s="2" t="s">
        <v>13</v>
      </c>
      <c r="F194" s="2" t="s">
        <v>14</v>
      </c>
      <c r="G194" s="2" t="s">
        <v>25</v>
      </c>
      <c r="H194" s="2">
        <v>116.53</v>
      </c>
      <c r="I194" s="2">
        <v>15</v>
      </c>
      <c r="J194" s="2">
        <v>-4.55</v>
      </c>
    </row>
    <row r="195" spans="1:10" ht="15.75" customHeight="1" x14ac:dyDescent="0.25">
      <c r="A195" s="2" t="s">
        <v>230</v>
      </c>
      <c r="B195" s="3">
        <v>45151</v>
      </c>
      <c r="C195" s="2" t="s">
        <v>27</v>
      </c>
      <c r="D195" s="2" t="s">
        <v>22</v>
      </c>
      <c r="E195" s="2" t="s">
        <v>18</v>
      </c>
      <c r="F195" s="2" t="s">
        <v>50</v>
      </c>
      <c r="G195" s="2" t="s">
        <v>25</v>
      </c>
      <c r="H195" s="2">
        <v>2903.28</v>
      </c>
      <c r="I195" s="2">
        <v>18</v>
      </c>
      <c r="J195" s="2">
        <v>562.79999999999995</v>
      </c>
    </row>
    <row r="196" spans="1:10" ht="15.75" customHeight="1" x14ac:dyDescent="0.25">
      <c r="A196" s="2" t="s">
        <v>231</v>
      </c>
      <c r="B196" s="3">
        <v>45152</v>
      </c>
      <c r="C196" s="2" t="s">
        <v>17</v>
      </c>
      <c r="D196" s="2" t="s">
        <v>47</v>
      </c>
      <c r="E196" s="2" t="s">
        <v>29</v>
      </c>
      <c r="F196" s="2" t="s">
        <v>14</v>
      </c>
      <c r="G196" s="2" t="s">
        <v>20</v>
      </c>
      <c r="H196" s="2">
        <v>4208.99</v>
      </c>
      <c r="I196" s="2">
        <v>33</v>
      </c>
      <c r="J196" s="2">
        <v>315.27999999999997</v>
      </c>
    </row>
    <row r="197" spans="1:10" ht="15.75" customHeight="1" x14ac:dyDescent="0.25">
      <c r="A197" s="2" t="s">
        <v>232</v>
      </c>
      <c r="B197" s="3">
        <v>45153</v>
      </c>
      <c r="C197" s="2" t="s">
        <v>27</v>
      </c>
      <c r="D197" s="2" t="s">
        <v>28</v>
      </c>
      <c r="E197" s="2" t="s">
        <v>38</v>
      </c>
      <c r="F197" s="2" t="s">
        <v>41</v>
      </c>
      <c r="G197" s="2" t="s">
        <v>35</v>
      </c>
      <c r="H197" s="2">
        <v>1201.1199999999999</v>
      </c>
      <c r="I197" s="2">
        <v>2</v>
      </c>
      <c r="J197" s="2">
        <v>171.36</v>
      </c>
    </row>
    <row r="198" spans="1:10" ht="15.75" customHeight="1" x14ac:dyDescent="0.25">
      <c r="A198" s="2" t="s">
        <v>233</v>
      </c>
      <c r="B198" s="3">
        <v>45154</v>
      </c>
      <c r="C198" s="2" t="s">
        <v>40</v>
      </c>
      <c r="D198" s="2" t="s">
        <v>28</v>
      </c>
      <c r="E198" s="2" t="s">
        <v>29</v>
      </c>
      <c r="F198" s="2" t="s">
        <v>32</v>
      </c>
      <c r="G198" s="2" t="s">
        <v>15</v>
      </c>
      <c r="H198" s="2">
        <v>2448.29</v>
      </c>
      <c r="I198" s="2">
        <v>37</v>
      </c>
      <c r="J198" s="2">
        <v>801.03</v>
      </c>
    </row>
    <row r="199" spans="1:10" ht="15.75" customHeight="1" x14ac:dyDescent="0.25">
      <c r="A199" s="2" t="s">
        <v>234</v>
      </c>
      <c r="B199" s="3">
        <v>45155</v>
      </c>
      <c r="C199" s="2" t="s">
        <v>17</v>
      </c>
      <c r="D199" s="2" t="s">
        <v>22</v>
      </c>
      <c r="E199" s="2" t="s">
        <v>29</v>
      </c>
      <c r="F199" s="2" t="s">
        <v>24</v>
      </c>
      <c r="G199" s="2" t="s">
        <v>33</v>
      </c>
      <c r="H199" s="2">
        <v>4921.09</v>
      </c>
      <c r="I199" s="2">
        <v>49</v>
      </c>
      <c r="J199" s="2">
        <v>139.83000000000001</v>
      </c>
    </row>
    <row r="200" spans="1:10" ht="15.75" customHeight="1" x14ac:dyDescent="0.25">
      <c r="A200" s="2" t="s">
        <v>235</v>
      </c>
      <c r="B200" s="3">
        <v>45156</v>
      </c>
      <c r="C200" s="2" t="s">
        <v>11</v>
      </c>
      <c r="D200" s="2" t="s">
        <v>12</v>
      </c>
      <c r="E200" s="2" t="s">
        <v>38</v>
      </c>
      <c r="F200" s="2" t="s">
        <v>41</v>
      </c>
      <c r="G200" s="2" t="s">
        <v>15</v>
      </c>
      <c r="H200" s="2">
        <v>2027.6</v>
      </c>
      <c r="I200" s="2">
        <v>25</v>
      </c>
      <c r="J200" s="2">
        <v>1449.62</v>
      </c>
    </row>
    <row r="201" spans="1:10" ht="15.75" customHeight="1" x14ac:dyDescent="0.25">
      <c r="A201" s="2" t="s">
        <v>236</v>
      </c>
      <c r="B201" s="3">
        <v>45157</v>
      </c>
      <c r="C201" s="2" t="s">
        <v>17</v>
      </c>
      <c r="D201" s="2" t="s">
        <v>12</v>
      </c>
      <c r="E201" s="2" t="s">
        <v>13</v>
      </c>
      <c r="F201" s="2" t="s">
        <v>43</v>
      </c>
      <c r="G201" s="2" t="s">
        <v>15</v>
      </c>
      <c r="H201" s="2">
        <v>4698.3900000000003</v>
      </c>
      <c r="I201" s="2">
        <v>26</v>
      </c>
      <c r="J201" s="2">
        <v>149.08000000000001</v>
      </c>
    </row>
    <row r="202" spans="1:10" ht="15.75" customHeight="1" x14ac:dyDescent="0.25">
      <c r="A202" s="2" t="s">
        <v>237</v>
      </c>
      <c r="B202" s="3">
        <v>45158</v>
      </c>
      <c r="C202" s="2" t="s">
        <v>40</v>
      </c>
      <c r="D202" s="2" t="s">
        <v>47</v>
      </c>
      <c r="E202" s="2" t="s">
        <v>38</v>
      </c>
      <c r="F202" s="2" t="s">
        <v>43</v>
      </c>
      <c r="G202" s="2" t="s">
        <v>15</v>
      </c>
      <c r="H202" s="2">
        <v>4150.29</v>
      </c>
      <c r="I202" s="2">
        <v>21</v>
      </c>
      <c r="J202" s="2">
        <v>1479.39</v>
      </c>
    </row>
    <row r="203" spans="1:10" ht="15.75" customHeight="1" x14ac:dyDescent="0.25">
      <c r="A203" s="2" t="s">
        <v>238</v>
      </c>
      <c r="B203" s="3">
        <v>45159</v>
      </c>
      <c r="C203" s="2" t="s">
        <v>27</v>
      </c>
      <c r="D203" s="2" t="s">
        <v>47</v>
      </c>
      <c r="E203" s="2" t="s">
        <v>13</v>
      </c>
      <c r="F203" s="2" t="s">
        <v>70</v>
      </c>
      <c r="G203" s="2" t="s">
        <v>25</v>
      </c>
      <c r="H203" s="2">
        <v>2523.6</v>
      </c>
      <c r="I203" s="2">
        <v>22</v>
      </c>
      <c r="J203" s="2">
        <v>-9.5299999999999994</v>
      </c>
    </row>
    <row r="204" spans="1:10" ht="15.75" customHeight="1" x14ac:dyDescent="0.25">
      <c r="A204" s="2" t="s">
        <v>239</v>
      </c>
      <c r="B204" s="3">
        <v>45160</v>
      </c>
      <c r="C204" s="2" t="s">
        <v>11</v>
      </c>
      <c r="D204" s="2" t="s">
        <v>31</v>
      </c>
      <c r="E204" s="2" t="s">
        <v>18</v>
      </c>
      <c r="F204" s="2" t="s">
        <v>50</v>
      </c>
      <c r="G204" s="2" t="s">
        <v>20</v>
      </c>
      <c r="H204" s="2">
        <v>3213.28</v>
      </c>
      <c r="I204" s="2">
        <v>22</v>
      </c>
      <c r="J204" s="2">
        <v>1409.83</v>
      </c>
    </row>
    <row r="205" spans="1:10" ht="15.75" customHeight="1" x14ac:dyDescent="0.25">
      <c r="A205" s="2" t="s">
        <v>240</v>
      </c>
      <c r="B205" s="3">
        <v>45161</v>
      </c>
      <c r="C205" s="2" t="s">
        <v>17</v>
      </c>
      <c r="D205" s="2" t="s">
        <v>22</v>
      </c>
      <c r="E205" s="2" t="s">
        <v>38</v>
      </c>
      <c r="F205" s="2" t="s">
        <v>32</v>
      </c>
      <c r="G205" s="2" t="s">
        <v>35</v>
      </c>
      <c r="H205" s="2">
        <v>421.36</v>
      </c>
      <c r="I205" s="2">
        <v>15</v>
      </c>
      <c r="J205" s="2">
        <v>-187.08</v>
      </c>
    </row>
    <row r="206" spans="1:10" ht="15.75" customHeight="1" x14ac:dyDescent="0.25">
      <c r="A206" s="2" t="s">
        <v>241</v>
      </c>
      <c r="B206" s="3">
        <v>45162</v>
      </c>
      <c r="C206" s="2" t="s">
        <v>11</v>
      </c>
      <c r="D206" s="2" t="s">
        <v>47</v>
      </c>
      <c r="E206" s="2" t="s">
        <v>29</v>
      </c>
      <c r="F206" s="2" t="s">
        <v>43</v>
      </c>
      <c r="G206" s="2" t="s">
        <v>15</v>
      </c>
      <c r="H206" s="2">
        <v>2630.52</v>
      </c>
      <c r="I206" s="2">
        <v>27</v>
      </c>
      <c r="J206" s="2">
        <v>-286.64</v>
      </c>
    </row>
    <row r="207" spans="1:10" ht="15.75" customHeight="1" x14ac:dyDescent="0.25">
      <c r="A207" s="2" t="s">
        <v>242</v>
      </c>
      <c r="B207" s="3">
        <v>45163</v>
      </c>
      <c r="C207" s="2" t="s">
        <v>27</v>
      </c>
      <c r="D207" s="2" t="s">
        <v>28</v>
      </c>
      <c r="E207" s="2" t="s">
        <v>38</v>
      </c>
      <c r="F207" s="2" t="s">
        <v>43</v>
      </c>
      <c r="G207" s="2" t="s">
        <v>33</v>
      </c>
      <c r="H207" s="2">
        <v>3823.67</v>
      </c>
      <c r="I207" s="2">
        <v>14</v>
      </c>
      <c r="J207" s="2">
        <v>-124.53</v>
      </c>
    </row>
    <row r="208" spans="1:10" ht="15.75" customHeight="1" x14ac:dyDescent="0.25">
      <c r="A208" s="2" t="s">
        <v>243</v>
      </c>
      <c r="B208" s="3">
        <v>45164</v>
      </c>
      <c r="C208" s="2" t="s">
        <v>40</v>
      </c>
      <c r="D208" s="2" t="s">
        <v>28</v>
      </c>
      <c r="E208" s="2" t="s">
        <v>18</v>
      </c>
      <c r="F208" s="2" t="s">
        <v>41</v>
      </c>
      <c r="G208" s="2" t="s">
        <v>33</v>
      </c>
      <c r="H208" s="2">
        <v>1228.8</v>
      </c>
      <c r="I208" s="2">
        <v>29</v>
      </c>
      <c r="J208" s="2">
        <v>972.92</v>
      </c>
    </row>
    <row r="209" spans="1:10" ht="15.75" customHeight="1" x14ac:dyDescent="0.25">
      <c r="A209" s="2" t="s">
        <v>244</v>
      </c>
      <c r="B209" s="3">
        <v>45165</v>
      </c>
      <c r="C209" s="2" t="s">
        <v>40</v>
      </c>
      <c r="D209" s="2" t="s">
        <v>47</v>
      </c>
      <c r="E209" s="2" t="s">
        <v>23</v>
      </c>
      <c r="F209" s="2" t="s">
        <v>32</v>
      </c>
      <c r="G209" s="2" t="s">
        <v>20</v>
      </c>
      <c r="H209" s="2">
        <v>352.28</v>
      </c>
      <c r="I209" s="2">
        <v>1</v>
      </c>
      <c r="J209" s="2">
        <v>118.77</v>
      </c>
    </row>
    <row r="210" spans="1:10" ht="15.75" customHeight="1" x14ac:dyDescent="0.25">
      <c r="A210" s="2" t="s">
        <v>245</v>
      </c>
      <c r="B210" s="3">
        <v>45166</v>
      </c>
      <c r="C210" s="2" t="s">
        <v>17</v>
      </c>
      <c r="D210" s="2" t="s">
        <v>47</v>
      </c>
      <c r="E210" s="2" t="s">
        <v>38</v>
      </c>
      <c r="F210" s="2" t="s">
        <v>19</v>
      </c>
      <c r="G210" s="2" t="s">
        <v>33</v>
      </c>
      <c r="H210" s="2">
        <v>244.07</v>
      </c>
      <c r="I210" s="2">
        <v>12</v>
      </c>
      <c r="J210" s="2">
        <v>196.13</v>
      </c>
    </row>
    <row r="211" spans="1:10" ht="15.75" customHeight="1" x14ac:dyDescent="0.25">
      <c r="A211" s="2" t="s">
        <v>246</v>
      </c>
      <c r="B211" s="3">
        <v>45167</v>
      </c>
      <c r="C211" s="2" t="s">
        <v>40</v>
      </c>
      <c r="D211" s="2" t="s">
        <v>22</v>
      </c>
      <c r="E211" s="2" t="s">
        <v>13</v>
      </c>
      <c r="F211" s="2" t="s">
        <v>70</v>
      </c>
      <c r="G211" s="2" t="s">
        <v>35</v>
      </c>
      <c r="H211" s="2">
        <v>885.55</v>
      </c>
      <c r="I211" s="2">
        <v>2</v>
      </c>
      <c r="J211" s="2">
        <v>911.98</v>
      </c>
    </row>
    <row r="212" spans="1:10" ht="15.75" customHeight="1" x14ac:dyDescent="0.25">
      <c r="A212" s="2" t="s">
        <v>247</v>
      </c>
      <c r="B212" s="3">
        <v>45168</v>
      </c>
      <c r="C212" s="2" t="s">
        <v>11</v>
      </c>
      <c r="D212" s="2" t="s">
        <v>28</v>
      </c>
      <c r="E212" s="2" t="s">
        <v>18</v>
      </c>
      <c r="F212" s="2" t="s">
        <v>70</v>
      </c>
      <c r="G212" s="2" t="s">
        <v>25</v>
      </c>
      <c r="H212" s="2">
        <v>1265.06</v>
      </c>
      <c r="I212" s="2">
        <v>38</v>
      </c>
      <c r="J212" s="2">
        <v>-246.9</v>
      </c>
    </row>
    <row r="213" spans="1:10" ht="15.75" customHeight="1" x14ac:dyDescent="0.25">
      <c r="A213" s="2" t="s">
        <v>248</v>
      </c>
      <c r="B213" s="3">
        <v>45169</v>
      </c>
      <c r="C213" s="2" t="s">
        <v>40</v>
      </c>
      <c r="D213" s="2" t="s">
        <v>31</v>
      </c>
      <c r="E213" s="2" t="s">
        <v>13</v>
      </c>
      <c r="F213" s="2" t="s">
        <v>50</v>
      </c>
      <c r="G213" s="2" t="s">
        <v>33</v>
      </c>
      <c r="H213" s="2">
        <v>4046.47</v>
      </c>
      <c r="I213" s="2">
        <v>9</v>
      </c>
      <c r="J213" s="2">
        <v>672.47</v>
      </c>
    </row>
    <row r="214" spans="1:10" ht="15.75" customHeight="1" x14ac:dyDescent="0.25">
      <c r="A214" s="2" t="s">
        <v>249</v>
      </c>
      <c r="B214" s="3">
        <v>45170</v>
      </c>
      <c r="C214" s="2" t="s">
        <v>11</v>
      </c>
      <c r="D214" s="2" t="s">
        <v>47</v>
      </c>
      <c r="E214" s="2" t="s">
        <v>13</v>
      </c>
      <c r="F214" s="2" t="s">
        <v>24</v>
      </c>
      <c r="G214" s="2" t="s">
        <v>33</v>
      </c>
      <c r="H214" s="2">
        <v>2349.66</v>
      </c>
      <c r="I214" s="2">
        <v>42</v>
      </c>
      <c r="J214" s="2">
        <v>420.61</v>
      </c>
    </row>
    <row r="215" spans="1:10" ht="15.75" customHeight="1" x14ac:dyDescent="0.25">
      <c r="A215" s="2" t="s">
        <v>250</v>
      </c>
      <c r="B215" s="3">
        <v>45171</v>
      </c>
      <c r="C215" s="2" t="s">
        <v>17</v>
      </c>
      <c r="D215" s="2" t="s">
        <v>47</v>
      </c>
      <c r="E215" s="2" t="s">
        <v>29</v>
      </c>
      <c r="F215" s="2" t="s">
        <v>19</v>
      </c>
      <c r="G215" s="2" t="s">
        <v>35</v>
      </c>
      <c r="H215" s="2">
        <v>2724.24</v>
      </c>
      <c r="I215" s="2">
        <v>36</v>
      </c>
      <c r="J215" s="2">
        <v>-9.56</v>
      </c>
    </row>
    <row r="216" spans="1:10" ht="15.75" customHeight="1" x14ac:dyDescent="0.25">
      <c r="A216" s="2" t="s">
        <v>251</v>
      </c>
      <c r="B216" s="3">
        <v>45172</v>
      </c>
      <c r="C216" s="2" t="s">
        <v>11</v>
      </c>
      <c r="D216" s="2" t="s">
        <v>28</v>
      </c>
      <c r="E216" s="2" t="s">
        <v>23</v>
      </c>
      <c r="F216" s="2" t="s">
        <v>70</v>
      </c>
      <c r="G216" s="2" t="s">
        <v>20</v>
      </c>
      <c r="H216" s="2">
        <v>1634.2</v>
      </c>
      <c r="I216" s="2">
        <v>26</v>
      </c>
      <c r="J216" s="2">
        <v>1341.12</v>
      </c>
    </row>
    <row r="217" spans="1:10" ht="15.75" customHeight="1" x14ac:dyDescent="0.25">
      <c r="A217" s="2" t="s">
        <v>252</v>
      </c>
      <c r="B217" s="3">
        <v>45173</v>
      </c>
      <c r="C217" s="2" t="s">
        <v>17</v>
      </c>
      <c r="D217" s="2" t="s">
        <v>31</v>
      </c>
      <c r="E217" s="2" t="s">
        <v>13</v>
      </c>
      <c r="F217" s="2" t="s">
        <v>19</v>
      </c>
      <c r="G217" s="2" t="s">
        <v>20</v>
      </c>
      <c r="H217" s="2">
        <v>1564.26</v>
      </c>
      <c r="I217" s="2">
        <v>11</v>
      </c>
      <c r="J217" s="2">
        <v>348.68</v>
      </c>
    </row>
    <row r="218" spans="1:10" ht="15.75" customHeight="1" x14ac:dyDescent="0.25">
      <c r="A218" s="2" t="s">
        <v>253</v>
      </c>
      <c r="B218" s="3">
        <v>45174</v>
      </c>
      <c r="C218" s="2" t="s">
        <v>40</v>
      </c>
      <c r="D218" s="2" t="s">
        <v>47</v>
      </c>
      <c r="E218" s="2" t="s">
        <v>29</v>
      </c>
      <c r="F218" s="2" t="s">
        <v>41</v>
      </c>
      <c r="G218" s="2" t="s">
        <v>33</v>
      </c>
      <c r="H218" s="2">
        <v>2812.08</v>
      </c>
      <c r="I218" s="2">
        <v>25</v>
      </c>
      <c r="J218" s="2">
        <v>224.41</v>
      </c>
    </row>
    <row r="219" spans="1:10" ht="15.75" customHeight="1" x14ac:dyDescent="0.25">
      <c r="A219" s="2" t="s">
        <v>254</v>
      </c>
      <c r="B219" s="3">
        <v>45175</v>
      </c>
      <c r="C219" s="2" t="s">
        <v>11</v>
      </c>
      <c r="D219" s="2" t="s">
        <v>31</v>
      </c>
      <c r="E219" s="2" t="s">
        <v>23</v>
      </c>
      <c r="F219" s="2" t="s">
        <v>70</v>
      </c>
      <c r="G219" s="2" t="s">
        <v>20</v>
      </c>
      <c r="H219" s="2">
        <v>3754.37</v>
      </c>
      <c r="I219" s="2">
        <v>33</v>
      </c>
      <c r="J219" s="2">
        <v>950.11</v>
      </c>
    </row>
    <row r="220" spans="1:10" ht="15.75" customHeight="1" x14ac:dyDescent="0.25">
      <c r="A220" s="2" t="s">
        <v>255</v>
      </c>
      <c r="B220" s="3">
        <v>45176</v>
      </c>
      <c r="C220" s="2" t="s">
        <v>11</v>
      </c>
      <c r="D220" s="2" t="s">
        <v>31</v>
      </c>
      <c r="E220" s="2" t="s">
        <v>13</v>
      </c>
      <c r="F220" s="2" t="s">
        <v>14</v>
      </c>
      <c r="G220" s="2" t="s">
        <v>15</v>
      </c>
      <c r="H220" s="2">
        <v>985.38</v>
      </c>
      <c r="I220" s="2">
        <v>6</v>
      </c>
      <c r="J220" s="2">
        <v>1239.8499999999999</v>
      </c>
    </row>
    <row r="221" spans="1:10" ht="15.75" customHeight="1" x14ac:dyDescent="0.25">
      <c r="A221" s="2" t="s">
        <v>256</v>
      </c>
      <c r="B221" s="3">
        <v>45177</v>
      </c>
      <c r="C221" s="2" t="s">
        <v>11</v>
      </c>
      <c r="D221" s="2" t="s">
        <v>31</v>
      </c>
      <c r="E221" s="2" t="s">
        <v>29</v>
      </c>
      <c r="F221" s="2" t="s">
        <v>70</v>
      </c>
      <c r="G221" s="2" t="s">
        <v>25</v>
      </c>
      <c r="H221" s="2">
        <v>2229.7800000000002</v>
      </c>
      <c r="I221" s="2">
        <v>11</v>
      </c>
      <c r="J221" s="2">
        <v>110.46</v>
      </c>
    </row>
    <row r="222" spans="1:10" ht="15.75" customHeight="1" x14ac:dyDescent="0.25">
      <c r="A222" s="2" t="s">
        <v>257</v>
      </c>
      <c r="B222" s="3">
        <v>45178</v>
      </c>
      <c r="C222" s="2" t="s">
        <v>17</v>
      </c>
      <c r="D222" s="2" t="s">
        <v>22</v>
      </c>
      <c r="E222" s="2" t="s">
        <v>38</v>
      </c>
      <c r="F222" s="2" t="s">
        <v>50</v>
      </c>
      <c r="G222" s="2" t="s">
        <v>15</v>
      </c>
      <c r="H222" s="2">
        <v>3256.03</v>
      </c>
      <c r="I222" s="2">
        <v>5</v>
      </c>
      <c r="J222" s="2">
        <v>-71.099999999999994</v>
      </c>
    </row>
    <row r="223" spans="1:10" ht="15.75" customHeight="1" x14ac:dyDescent="0.25">
      <c r="A223" s="2" t="s">
        <v>258</v>
      </c>
      <c r="B223" s="3">
        <v>45179</v>
      </c>
      <c r="C223" s="2" t="s">
        <v>40</v>
      </c>
      <c r="D223" s="2" t="s">
        <v>12</v>
      </c>
      <c r="E223" s="2" t="s">
        <v>18</v>
      </c>
      <c r="F223" s="2" t="s">
        <v>24</v>
      </c>
      <c r="G223" s="2" t="s">
        <v>33</v>
      </c>
      <c r="H223" s="2">
        <v>4804.46</v>
      </c>
      <c r="I223" s="2">
        <v>1</v>
      </c>
      <c r="J223" s="2">
        <v>1428.06</v>
      </c>
    </row>
    <row r="224" spans="1:10" ht="15.75" customHeight="1" x14ac:dyDescent="0.25">
      <c r="A224" s="2" t="s">
        <v>259</v>
      </c>
      <c r="B224" s="3">
        <v>45180</v>
      </c>
      <c r="C224" s="2" t="s">
        <v>40</v>
      </c>
      <c r="D224" s="2" t="s">
        <v>12</v>
      </c>
      <c r="E224" s="2" t="s">
        <v>23</v>
      </c>
      <c r="F224" s="2" t="s">
        <v>43</v>
      </c>
      <c r="G224" s="2" t="s">
        <v>25</v>
      </c>
      <c r="H224" s="2">
        <v>1420.08</v>
      </c>
      <c r="I224" s="2">
        <v>19</v>
      </c>
      <c r="J224" s="2">
        <v>469.39</v>
      </c>
    </row>
    <row r="225" spans="1:10" ht="15.75" customHeight="1" x14ac:dyDescent="0.25">
      <c r="A225" s="2" t="s">
        <v>260</v>
      </c>
      <c r="B225" s="3">
        <v>45181</v>
      </c>
      <c r="C225" s="2" t="s">
        <v>11</v>
      </c>
      <c r="D225" s="2" t="s">
        <v>47</v>
      </c>
      <c r="E225" s="2" t="s">
        <v>13</v>
      </c>
      <c r="F225" s="2" t="s">
        <v>19</v>
      </c>
      <c r="G225" s="2" t="s">
        <v>25</v>
      </c>
      <c r="H225" s="2">
        <v>2025.03</v>
      </c>
      <c r="I225" s="2">
        <v>25</v>
      </c>
      <c r="J225" s="2">
        <v>662.98</v>
      </c>
    </row>
    <row r="226" spans="1:10" ht="15.75" customHeight="1" x14ac:dyDescent="0.25">
      <c r="A226" s="2" t="s">
        <v>261</v>
      </c>
      <c r="B226" s="3">
        <v>45182</v>
      </c>
      <c r="C226" s="2" t="s">
        <v>11</v>
      </c>
      <c r="D226" s="2" t="s">
        <v>47</v>
      </c>
      <c r="E226" s="2" t="s">
        <v>29</v>
      </c>
      <c r="F226" s="2" t="s">
        <v>19</v>
      </c>
      <c r="G226" s="2" t="s">
        <v>15</v>
      </c>
      <c r="H226" s="2">
        <v>2889.58</v>
      </c>
      <c r="I226" s="2">
        <v>39</v>
      </c>
      <c r="J226" s="2">
        <v>522.49</v>
      </c>
    </row>
    <row r="227" spans="1:10" ht="15.75" customHeight="1" x14ac:dyDescent="0.25">
      <c r="A227" s="2" t="s">
        <v>262</v>
      </c>
      <c r="B227" s="3">
        <v>45183</v>
      </c>
      <c r="C227" s="2" t="s">
        <v>17</v>
      </c>
      <c r="D227" s="2" t="s">
        <v>31</v>
      </c>
      <c r="E227" s="2" t="s">
        <v>23</v>
      </c>
      <c r="F227" s="2" t="s">
        <v>14</v>
      </c>
      <c r="G227" s="2" t="s">
        <v>20</v>
      </c>
      <c r="H227" s="2">
        <v>795.3</v>
      </c>
      <c r="I227" s="2">
        <v>1</v>
      </c>
      <c r="J227" s="2">
        <v>1190.31</v>
      </c>
    </row>
    <row r="228" spans="1:10" ht="15.75" customHeight="1" x14ac:dyDescent="0.25">
      <c r="A228" s="2" t="s">
        <v>263</v>
      </c>
      <c r="B228" s="3">
        <v>45184</v>
      </c>
      <c r="C228" s="2" t="s">
        <v>11</v>
      </c>
      <c r="D228" s="2" t="s">
        <v>22</v>
      </c>
      <c r="E228" s="2" t="s">
        <v>38</v>
      </c>
      <c r="F228" s="2" t="s">
        <v>41</v>
      </c>
      <c r="G228" s="2" t="s">
        <v>35</v>
      </c>
      <c r="H228" s="2">
        <v>3096.76</v>
      </c>
      <c r="I228" s="2">
        <v>1</v>
      </c>
      <c r="J228" s="2">
        <v>472.07</v>
      </c>
    </row>
    <row r="229" spans="1:10" ht="15.75" customHeight="1" x14ac:dyDescent="0.25">
      <c r="A229" s="2" t="s">
        <v>264</v>
      </c>
      <c r="B229" s="3">
        <v>45185</v>
      </c>
      <c r="C229" s="2" t="s">
        <v>40</v>
      </c>
      <c r="D229" s="2" t="s">
        <v>12</v>
      </c>
      <c r="E229" s="2" t="s">
        <v>18</v>
      </c>
      <c r="F229" s="2" t="s">
        <v>24</v>
      </c>
      <c r="G229" s="2" t="s">
        <v>20</v>
      </c>
      <c r="H229" s="2">
        <v>4874.84</v>
      </c>
      <c r="I229" s="2">
        <v>26</v>
      </c>
      <c r="J229" s="2">
        <v>1062.71</v>
      </c>
    </row>
    <row r="230" spans="1:10" ht="15.75" customHeight="1" x14ac:dyDescent="0.25">
      <c r="A230" s="2" t="s">
        <v>265</v>
      </c>
      <c r="B230" s="3">
        <v>45186</v>
      </c>
      <c r="C230" s="2" t="s">
        <v>40</v>
      </c>
      <c r="D230" s="2" t="s">
        <v>31</v>
      </c>
      <c r="E230" s="2" t="s">
        <v>29</v>
      </c>
      <c r="F230" s="2" t="s">
        <v>41</v>
      </c>
      <c r="G230" s="2" t="s">
        <v>15</v>
      </c>
      <c r="H230" s="2">
        <v>1439.76</v>
      </c>
      <c r="I230" s="2">
        <v>10</v>
      </c>
      <c r="J230" s="2">
        <v>640.96</v>
      </c>
    </row>
    <row r="231" spans="1:10" ht="15.75" customHeight="1" x14ac:dyDescent="0.25">
      <c r="A231" s="2" t="s">
        <v>266</v>
      </c>
      <c r="B231" s="3">
        <v>45187</v>
      </c>
      <c r="C231" s="2" t="s">
        <v>40</v>
      </c>
      <c r="D231" s="2" t="s">
        <v>31</v>
      </c>
      <c r="E231" s="2" t="s">
        <v>38</v>
      </c>
      <c r="F231" s="2" t="s">
        <v>43</v>
      </c>
      <c r="G231" s="2" t="s">
        <v>15</v>
      </c>
      <c r="H231" s="2">
        <v>2454.85</v>
      </c>
      <c r="I231" s="2">
        <v>49</v>
      </c>
      <c r="J231" s="2">
        <v>-156.56</v>
      </c>
    </row>
    <row r="232" spans="1:10" ht="15.75" customHeight="1" x14ac:dyDescent="0.25">
      <c r="A232" s="2" t="s">
        <v>267</v>
      </c>
      <c r="B232" s="3">
        <v>45188</v>
      </c>
      <c r="C232" s="2" t="s">
        <v>40</v>
      </c>
      <c r="D232" s="2" t="s">
        <v>12</v>
      </c>
      <c r="E232" s="2" t="s">
        <v>23</v>
      </c>
      <c r="F232" s="2" t="s">
        <v>70</v>
      </c>
      <c r="G232" s="2" t="s">
        <v>20</v>
      </c>
      <c r="H232" s="2">
        <v>676.43</v>
      </c>
      <c r="I232" s="2">
        <v>38</v>
      </c>
      <c r="J232" s="2">
        <v>616.79</v>
      </c>
    </row>
    <row r="233" spans="1:10" ht="15.75" customHeight="1" x14ac:dyDescent="0.25">
      <c r="A233" s="2" t="s">
        <v>268</v>
      </c>
      <c r="B233" s="3">
        <v>45189</v>
      </c>
      <c r="C233" s="2" t="s">
        <v>17</v>
      </c>
      <c r="D233" s="2" t="s">
        <v>22</v>
      </c>
      <c r="E233" s="2" t="s">
        <v>18</v>
      </c>
      <c r="F233" s="2" t="s">
        <v>14</v>
      </c>
      <c r="G233" s="2" t="s">
        <v>25</v>
      </c>
      <c r="H233" s="2">
        <v>2638.5</v>
      </c>
      <c r="I233" s="2">
        <v>27</v>
      </c>
      <c r="J233" s="2">
        <v>1240.08</v>
      </c>
    </row>
    <row r="234" spans="1:10" ht="15.75" customHeight="1" x14ac:dyDescent="0.25">
      <c r="A234" s="2" t="s">
        <v>269</v>
      </c>
      <c r="B234" s="3">
        <v>45190</v>
      </c>
      <c r="C234" s="2" t="s">
        <v>40</v>
      </c>
      <c r="D234" s="2" t="s">
        <v>22</v>
      </c>
      <c r="E234" s="2" t="s">
        <v>13</v>
      </c>
      <c r="F234" s="2" t="s">
        <v>70</v>
      </c>
      <c r="G234" s="2" t="s">
        <v>35</v>
      </c>
      <c r="H234" s="2">
        <v>4860.7299999999996</v>
      </c>
      <c r="I234" s="2">
        <v>45</v>
      </c>
      <c r="J234" s="2">
        <v>656.01</v>
      </c>
    </row>
    <row r="235" spans="1:10" ht="15.75" customHeight="1" x14ac:dyDescent="0.25">
      <c r="A235" s="2" t="s">
        <v>270</v>
      </c>
      <c r="B235" s="3">
        <v>45191</v>
      </c>
      <c r="C235" s="2" t="s">
        <v>40</v>
      </c>
      <c r="D235" s="2" t="s">
        <v>47</v>
      </c>
      <c r="E235" s="2" t="s">
        <v>38</v>
      </c>
      <c r="F235" s="2" t="s">
        <v>41</v>
      </c>
      <c r="G235" s="2" t="s">
        <v>20</v>
      </c>
      <c r="H235" s="2">
        <v>2757.64</v>
      </c>
      <c r="I235" s="2">
        <v>35</v>
      </c>
      <c r="J235" s="2">
        <v>407.02</v>
      </c>
    </row>
    <row r="236" spans="1:10" ht="15.75" customHeight="1" x14ac:dyDescent="0.25">
      <c r="A236" s="2" t="s">
        <v>271</v>
      </c>
      <c r="B236" s="3">
        <v>45192</v>
      </c>
      <c r="C236" s="2" t="s">
        <v>40</v>
      </c>
      <c r="D236" s="2" t="s">
        <v>28</v>
      </c>
      <c r="E236" s="2" t="s">
        <v>29</v>
      </c>
      <c r="F236" s="2" t="s">
        <v>41</v>
      </c>
      <c r="G236" s="2" t="s">
        <v>33</v>
      </c>
      <c r="H236" s="2">
        <v>1146.1600000000001</v>
      </c>
      <c r="I236" s="2">
        <v>10</v>
      </c>
      <c r="J236" s="2">
        <v>-253.85</v>
      </c>
    </row>
    <row r="237" spans="1:10" ht="15.75" customHeight="1" x14ac:dyDescent="0.25">
      <c r="A237" s="2" t="s">
        <v>272</v>
      </c>
      <c r="B237" s="3">
        <v>45193</v>
      </c>
      <c r="C237" s="2" t="s">
        <v>27</v>
      </c>
      <c r="D237" s="2" t="s">
        <v>12</v>
      </c>
      <c r="E237" s="2" t="s">
        <v>13</v>
      </c>
      <c r="F237" s="2" t="s">
        <v>41</v>
      </c>
      <c r="G237" s="2" t="s">
        <v>25</v>
      </c>
      <c r="H237" s="2">
        <v>1622.71</v>
      </c>
      <c r="I237" s="2">
        <v>20</v>
      </c>
      <c r="J237" s="2">
        <v>962.33</v>
      </c>
    </row>
    <row r="238" spans="1:10" ht="15.75" customHeight="1" x14ac:dyDescent="0.25">
      <c r="A238" s="2" t="s">
        <v>273</v>
      </c>
      <c r="B238" s="3">
        <v>45194</v>
      </c>
      <c r="C238" s="2" t="s">
        <v>17</v>
      </c>
      <c r="D238" s="2" t="s">
        <v>22</v>
      </c>
      <c r="E238" s="2" t="s">
        <v>38</v>
      </c>
      <c r="F238" s="2" t="s">
        <v>41</v>
      </c>
      <c r="G238" s="2" t="s">
        <v>33</v>
      </c>
      <c r="H238" s="2">
        <v>3169.4</v>
      </c>
      <c r="I238" s="2">
        <v>38</v>
      </c>
      <c r="J238" s="2">
        <v>406.68</v>
      </c>
    </row>
    <row r="239" spans="1:10" ht="15.75" customHeight="1" x14ac:dyDescent="0.25">
      <c r="A239" s="2" t="s">
        <v>274</v>
      </c>
      <c r="B239" s="3">
        <v>45195</v>
      </c>
      <c r="C239" s="2" t="s">
        <v>27</v>
      </c>
      <c r="D239" s="2" t="s">
        <v>12</v>
      </c>
      <c r="E239" s="2" t="s">
        <v>13</v>
      </c>
      <c r="F239" s="2" t="s">
        <v>70</v>
      </c>
      <c r="G239" s="2" t="s">
        <v>15</v>
      </c>
      <c r="H239" s="2">
        <v>4299.41</v>
      </c>
      <c r="I239" s="2">
        <v>17</v>
      </c>
      <c r="J239" s="2">
        <v>282.02</v>
      </c>
    </row>
    <row r="240" spans="1:10" ht="15.75" customHeight="1" x14ac:dyDescent="0.25">
      <c r="A240" s="2" t="s">
        <v>275</v>
      </c>
      <c r="B240" s="3">
        <v>45196</v>
      </c>
      <c r="C240" s="2" t="s">
        <v>11</v>
      </c>
      <c r="D240" s="2" t="s">
        <v>31</v>
      </c>
      <c r="E240" s="2" t="s">
        <v>38</v>
      </c>
      <c r="F240" s="2" t="s">
        <v>70</v>
      </c>
      <c r="G240" s="2" t="s">
        <v>25</v>
      </c>
      <c r="H240" s="2">
        <v>2321.84</v>
      </c>
      <c r="I240" s="2">
        <v>22</v>
      </c>
      <c r="J240" s="2">
        <v>365.59</v>
      </c>
    </row>
    <row r="241" spans="1:10" ht="15.75" customHeight="1" x14ac:dyDescent="0.25">
      <c r="A241" s="2" t="s">
        <v>276</v>
      </c>
      <c r="B241" s="3">
        <v>45197</v>
      </c>
      <c r="C241" s="2" t="s">
        <v>17</v>
      </c>
      <c r="D241" s="2" t="s">
        <v>47</v>
      </c>
      <c r="E241" s="2" t="s">
        <v>13</v>
      </c>
      <c r="F241" s="2" t="s">
        <v>50</v>
      </c>
      <c r="G241" s="2" t="s">
        <v>25</v>
      </c>
      <c r="H241" s="2">
        <v>2501.59</v>
      </c>
      <c r="I241" s="2">
        <v>31</v>
      </c>
      <c r="J241" s="2">
        <v>451.86</v>
      </c>
    </row>
    <row r="242" spans="1:10" ht="15.75" customHeight="1" x14ac:dyDescent="0.25">
      <c r="A242" s="2" t="s">
        <v>277</v>
      </c>
      <c r="B242" s="3">
        <v>45198</v>
      </c>
      <c r="C242" s="2" t="s">
        <v>11</v>
      </c>
      <c r="D242" s="2" t="s">
        <v>28</v>
      </c>
      <c r="E242" s="2" t="s">
        <v>38</v>
      </c>
      <c r="F242" s="2" t="s">
        <v>50</v>
      </c>
      <c r="G242" s="2" t="s">
        <v>33</v>
      </c>
      <c r="H242" s="2">
        <v>4065.84</v>
      </c>
      <c r="I242" s="2">
        <v>44</v>
      </c>
      <c r="J242" s="2">
        <v>304.37</v>
      </c>
    </row>
    <row r="243" spans="1:10" ht="15.75" customHeight="1" x14ac:dyDescent="0.25">
      <c r="A243" s="2" t="s">
        <v>278</v>
      </c>
      <c r="B243" s="3">
        <v>45199</v>
      </c>
      <c r="C243" s="2" t="s">
        <v>27</v>
      </c>
      <c r="D243" s="2" t="s">
        <v>22</v>
      </c>
      <c r="E243" s="2" t="s">
        <v>38</v>
      </c>
      <c r="F243" s="2" t="s">
        <v>24</v>
      </c>
      <c r="G243" s="2" t="s">
        <v>25</v>
      </c>
      <c r="H243" s="2">
        <v>615.94000000000005</v>
      </c>
      <c r="I243" s="2">
        <v>6</v>
      </c>
      <c r="J243" s="2">
        <v>225.04</v>
      </c>
    </row>
    <row r="244" spans="1:10" ht="15.75" customHeight="1" x14ac:dyDescent="0.25">
      <c r="A244" s="2" t="s">
        <v>279</v>
      </c>
      <c r="B244" s="3">
        <v>45200</v>
      </c>
      <c r="C244" s="2" t="s">
        <v>27</v>
      </c>
      <c r="D244" s="2" t="s">
        <v>28</v>
      </c>
      <c r="E244" s="2" t="s">
        <v>29</v>
      </c>
      <c r="F244" s="2" t="s">
        <v>14</v>
      </c>
      <c r="G244" s="2" t="s">
        <v>20</v>
      </c>
      <c r="H244" s="2">
        <v>4761.1000000000004</v>
      </c>
      <c r="I244" s="2">
        <v>28</v>
      </c>
      <c r="J244" s="2">
        <v>528.9</v>
      </c>
    </row>
    <row r="245" spans="1:10" ht="15.75" customHeight="1" x14ac:dyDescent="0.25">
      <c r="A245" s="2" t="s">
        <v>280</v>
      </c>
      <c r="B245" s="3">
        <v>45201</v>
      </c>
      <c r="C245" s="2" t="s">
        <v>17</v>
      </c>
      <c r="D245" s="2" t="s">
        <v>22</v>
      </c>
      <c r="E245" s="2" t="s">
        <v>13</v>
      </c>
      <c r="F245" s="2" t="s">
        <v>32</v>
      </c>
      <c r="G245" s="2" t="s">
        <v>15</v>
      </c>
      <c r="H245" s="2">
        <v>2377.35</v>
      </c>
      <c r="I245" s="2">
        <v>39</v>
      </c>
      <c r="J245" s="2">
        <v>-216.07</v>
      </c>
    </row>
    <row r="246" spans="1:10" ht="15.75" customHeight="1" x14ac:dyDescent="0.25">
      <c r="A246" s="2" t="s">
        <v>281</v>
      </c>
      <c r="B246" s="3">
        <v>45202</v>
      </c>
      <c r="C246" s="2" t="s">
        <v>40</v>
      </c>
      <c r="D246" s="2" t="s">
        <v>28</v>
      </c>
      <c r="E246" s="2" t="s">
        <v>13</v>
      </c>
      <c r="F246" s="2" t="s">
        <v>19</v>
      </c>
      <c r="G246" s="2" t="s">
        <v>15</v>
      </c>
      <c r="H246" s="2">
        <v>1725.08</v>
      </c>
      <c r="I246" s="2">
        <v>6</v>
      </c>
      <c r="J246" s="2">
        <v>106.37</v>
      </c>
    </row>
    <row r="247" spans="1:10" ht="15.75" customHeight="1" x14ac:dyDescent="0.25">
      <c r="A247" s="2" t="s">
        <v>282</v>
      </c>
      <c r="B247" s="3">
        <v>45203</v>
      </c>
      <c r="C247" s="2" t="s">
        <v>11</v>
      </c>
      <c r="D247" s="2" t="s">
        <v>22</v>
      </c>
      <c r="E247" s="2" t="s">
        <v>23</v>
      </c>
      <c r="F247" s="2" t="s">
        <v>50</v>
      </c>
      <c r="G247" s="2" t="s">
        <v>25</v>
      </c>
      <c r="H247" s="2">
        <v>3914.87</v>
      </c>
      <c r="I247" s="2">
        <v>14</v>
      </c>
      <c r="J247" s="2">
        <v>488.64</v>
      </c>
    </row>
    <row r="248" spans="1:10" ht="15.75" customHeight="1" x14ac:dyDescent="0.25">
      <c r="A248" s="2" t="s">
        <v>283</v>
      </c>
      <c r="B248" s="3">
        <v>45204</v>
      </c>
      <c r="C248" s="2" t="s">
        <v>11</v>
      </c>
      <c r="D248" s="2" t="s">
        <v>22</v>
      </c>
      <c r="E248" s="2" t="s">
        <v>29</v>
      </c>
      <c r="F248" s="2" t="s">
        <v>50</v>
      </c>
      <c r="G248" s="2" t="s">
        <v>20</v>
      </c>
      <c r="H248" s="2">
        <v>1356.72</v>
      </c>
      <c r="I248" s="2">
        <v>4</v>
      </c>
      <c r="J248" s="2">
        <v>1292.5899999999999</v>
      </c>
    </row>
    <row r="249" spans="1:10" ht="15.75" customHeight="1" x14ac:dyDescent="0.25">
      <c r="A249" s="2" t="s">
        <v>284</v>
      </c>
      <c r="B249" s="3">
        <v>45205</v>
      </c>
      <c r="C249" s="2" t="s">
        <v>11</v>
      </c>
      <c r="D249" s="2" t="s">
        <v>47</v>
      </c>
      <c r="E249" s="2" t="s">
        <v>23</v>
      </c>
      <c r="F249" s="2" t="s">
        <v>14</v>
      </c>
      <c r="G249" s="2" t="s">
        <v>33</v>
      </c>
      <c r="H249" s="2">
        <v>817.54</v>
      </c>
      <c r="I249" s="2">
        <v>20</v>
      </c>
      <c r="J249" s="2">
        <v>470.64</v>
      </c>
    </row>
    <row r="250" spans="1:10" ht="15.75" customHeight="1" x14ac:dyDescent="0.25">
      <c r="A250" s="2" t="s">
        <v>285</v>
      </c>
      <c r="B250" s="3">
        <v>45206</v>
      </c>
      <c r="C250" s="2" t="s">
        <v>27</v>
      </c>
      <c r="D250" s="2" t="s">
        <v>47</v>
      </c>
      <c r="E250" s="2" t="s">
        <v>38</v>
      </c>
      <c r="F250" s="2" t="s">
        <v>14</v>
      </c>
      <c r="G250" s="2" t="s">
        <v>33</v>
      </c>
      <c r="H250" s="2">
        <v>1364.8</v>
      </c>
      <c r="I250" s="2">
        <v>45</v>
      </c>
      <c r="J250" s="2">
        <v>700.61</v>
      </c>
    </row>
    <row r="251" spans="1:10" ht="15.75" customHeight="1" x14ac:dyDescent="0.25">
      <c r="A251" s="2" t="s">
        <v>286</v>
      </c>
      <c r="B251" s="3">
        <v>45207</v>
      </c>
      <c r="C251" s="2" t="s">
        <v>11</v>
      </c>
      <c r="D251" s="2" t="s">
        <v>12</v>
      </c>
      <c r="E251" s="2" t="s">
        <v>38</v>
      </c>
      <c r="F251" s="2" t="s">
        <v>43</v>
      </c>
      <c r="G251" s="2" t="s">
        <v>20</v>
      </c>
      <c r="H251" s="2">
        <v>3395.4</v>
      </c>
      <c r="I251" s="2">
        <v>10</v>
      </c>
      <c r="J251" s="2">
        <v>1308.47</v>
      </c>
    </row>
    <row r="252" spans="1:10" ht="15.75" customHeight="1" x14ac:dyDescent="0.25">
      <c r="A252" s="2" t="s">
        <v>287</v>
      </c>
      <c r="B252" s="3">
        <v>45208</v>
      </c>
      <c r="C252" s="2" t="s">
        <v>11</v>
      </c>
      <c r="D252" s="2" t="s">
        <v>22</v>
      </c>
      <c r="E252" s="2" t="s">
        <v>23</v>
      </c>
      <c r="F252" s="2" t="s">
        <v>43</v>
      </c>
      <c r="G252" s="2" t="s">
        <v>15</v>
      </c>
      <c r="H252" s="2">
        <v>593.27</v>
      </c>
      <c r="I252" s="2">
        <v>11</v>
      </c>
      <c r="J252" s="2">
        <v>1150.48</v>
      </c>
    </row>
    <row r="253" spans="1:10" ht="15.75" customHeight="1" x14ac:dyDescent="0.25">
      <c r="A253" s="2" t="s">
        <v>288</v>
      </c>
      <c r="B253" s="3">
        <v>45209</v>
      </c>
      <c r="C253" s="2" t="s">
        <v>17</v>
      </c>
      <c r="D253" s="2" t="s">
        <v>12</v>
      </c>
      <c r="E253" s="2" t="s">
        <v>13</v>
      </c>
      <c r="F253" s="2" t="s">
        <v>19</v>
      </c>
      <c r="G253" s="2" t="s">
        <v>15</v>
      </c>
      <c r="H253" s="2">
        <v>2311.41</v>
      </c>
      <c r="I253" s="2">
        <v>44</v>
      </c>
      <c r="J253" s="2">
        <v>982.13</v>
      </c>
    </row>
    <row r="254" spans="1:10" ht="15.75" customHeight="1" x14ac:dyDescent="0.25">
      <c r="A254" s="2" t="s">
        <v>289</v>
      </c>
      <c r="B254" s="3">
        <v>45210</v>
      </c>
      <c r="C254" s="2" t="s">
        <v>27</v>
      </c>
      <c r="D254" s="2" t="s">
        <v>31</v>
      </c>
      <c r="E254" s="2" t="s">
        <v>23</v>
      </c>
      <c r="F254" s="2" t="s">
        <v>43</v>
      </c>
      <c r="G254" s="2" t="s">
        <v>25</v>
      </c>
      <c r="H254" s="2">
        <v>1254.24</v>
      </c>
      <c r="I254" s="2">
        <v>39</v>
      </c>
      <c r="J254" s="2">
        <v>815.02</v>
      </c>
    </row>
    <row r="255" spans="1:10" ht="15.75" customHeight="1" x14ac:dyDescent="0.25">
      <c r="A255" s="2" t="s">
        <v>290</v>
      </c>
      <c r="B255" s="3">
        <v>45211</v>
      </c>
      <c r="C255" s="2" t="s">
        <v>27</v>
      </c>
      <c r="D255" s="2" t="s">
        <v>47</v>
      </c>
      <c r="E255" s="2" t="s">
        <v>38</v>
      </c>
      <c r="F255" s="2" t="s">
        <v>43</v>
      </c>
      <c r="G255" s="2" t="s">
        <v>33</v>
      </c>
      <c r="H255" s="2">
        <v>2773.82</v>
      </c>
      <c r="I255" s="2">
        <v>26</v>
      </c>
      <c r="J255" s="2">
        <v>772.59</v>
      </c>
    </row>
    <row r="256" spans="1:10" ht="15.75" customHeight="1" x14ac:dyDescent="0.25">
      <c r="A256" s="2" t="s">
        <v>291</v>
      </c>
      <c r="B256" s="3">
        <v>45212</v>
      </c>
      <c r="C256" s="2" t="s">
        <v>40</v>
      </c>
      <c r="D256" s="2" t="s">
        <v>22</v>
      </c>
      <c r="E256" s="2" t="s">
        <v>23</v>
      </c>
      <c r="F256" s="2" t="s">
        <v>24</v>
      </c>
      <c r="G256" s="2" t="s">
        <v>33</v>
      </c>
      <c r="H256" s="2">
        <v>777.57</v>
      </c>
      <c r="I256" s="2">
        <v>37</v>
      </c>
      <c r="J256" s="2">
        <v>42.95</v>
      </c>
    </row>
    <row r="257" spans="1:10" ht="15.75" customHeight="1" x14ac:dyDescent="0.25">
      <c r="A257" s="2" t="s">
        <v>292</v>
      </c>
      <c r="B257" s="3">
        <v>45213</v>
      </c>
      <c r="C257" s="2" t="s">
        <v>17</v>
      </c>
      <c r="D257" s="2" t="s">
        <v>47</v>
      </c>
      <c r="E257" s="2" t="s">
        <v>29</v>
      </c>
      <c r="F257" s="2" t="s">
        <v>70</v>
      </c>
      <c r="G257" s="2" t="s">
        <v>25</v>
      </c>
      <c r="H257" s="2">
        <v>3892.43</v>
      </c>
      <c r="I257" s="2">
        <v>8</v>
      </c>
      <c r="J257" s="2">
        <v>-56.75</v>
      </c>
    </row>
    <row r="258" spans="1:10" ht="15.75" customHeight="1" x14ac:dyDescent="0.25">
      <c r="A258" s="2" t="s">
        <v>293</v>
      </c>
      <c r="B258" s="3">
        <v>45214</v>
      </c>
      <c r="C258" s="2" t="s">
        <v>27</v>
      </c>
      <c r="D258" s="2" t="s">
        <v>28</v>
      </c>
      <c r="E258" s="2" t="s">
        <v>18</v>
      </c>
      <c r="F258" s="2" t="s">
        <v>43</v>
      </c>
      <c r="G258" s="2" t="s">
        <v>15</v>
      </c>
      <c r="H258" s="2">
        <v>4627.17</v>
      </c>
      <c r="I258" s="2">
        <v>45</v>
      </c>
      <c r="J258" s="2">
        <v>-199.78</v>
      </c>
    </row>
    <row r="259" spans="1:10" ht="15.75" customHeight="1" x14ac:dyDescent="0.25">
      <c r="A259" s="2" t="s">
        <v>294</v>
      </c>
      <c r="B259" s="3">
        <v>45215</v>
      </c>
      <c r="C259" s="2" t="s">
        <v>40</v>
      </c>
      <c r="D259" s="2" t="s">
        <v>47</v>
      </c>
      <c r="E259" s="2" t="s">
        <v>38</v>
      </c>
      <c r="F259" s="2" t="s">
        <v>70</v>
      </c>
      <c r="G259" s="2" t="s">
        <v>25</v>
      </c>
      <c r="H259" s="2">
        <v>1664.86</v>
      </c>
      <c r="I259" s="2">
        <v>3</v>
      </c>
      <c r="J259" s="2">
        <v>-131.13</v>
      </c>
    </row>
    <row r="260" spans="1:10" ht="15.75" customHeight="1" x14ac:dyDescent="0.25">
      <c r="A260" s="2" t="s">
        <v>295</v>
      </c>
      <c r="B260" s="3">
        <v>45216</v>
      </c>
      <c r="C260" s="2" t="s">
        <v>11</v>
      </c>
      <c r="D260" s="2" t="s">
        <v>12</v>
      </c>
      <c r="E260" s="2" t="s">
        <v>29</v>
      </c>
      <c r="F260" s="2" t="s">
        <v>41</v>
      </c>
      <c r="G260" s="2" t="s">
        <v>15</v>
      </c>
      <c r="H260" s="2">
        <v>1836.94</v>
      </c>
      <c r="I260" s="2">
        <v>29</v>
      </c>
      <c r="J260" s="2">
        <v>806.97</v>
      </c>
    </row>
    <row r="261" spans="1:10" ht="15.75" customHeight="1" x14ac:dyDescent="0.25">
      <c r="A261" s="2" t="s">
        <v>296</v>
      </c>
      <c r="B261" s="3">
        <v>45217</v>
      </c>
      <c r="C261" s="2" t="s">
        <v>17</v>
      </c>
      <c r="D261" s="2" t="s">
        <v>22</v>
      </c>
      <c r="E261" s="2" t="s">
        <v>29</v>
      </c>
      <c r="F261" s="2" t="s">
        <v>41</v>
      </c>
      <c r="G261" s="2" t="s">
        <v>15</v>
      </c>
      <c r="H261" s="2">
        <v>3030.62</v>
      </c>
      <c r="I261" s="2">
        <v>40</v>
      </c>
      <c r="J261" s="2">
        <v>795.26</v>
      </c>
    </row>
    <row r="262" spans="1:10" ht="15.75" customHeight="1" x14ac:dyDescent="0.25">
      <c r="A262" s="2" t="s">
        <v>297</v>
      </c>
      <c r="B262" s="3">
        <v>45218</v>
      </c>
      <c r="C262" s="2" t="s">
        <v>40</v>
      </c>
      <c r="D262" s="2" t="s">
        <v>12</v>
      </c>
      <c r="E262" s="2" t="s">
        <v>38</v>
      </c>
      <c r="F262" s="2" t="s">
        <v>14</v>
      </c>
      <c r="G262" s="2" t="s">
        <v>20</v>
      </c>
      <c r="H262" s="2">
        <v>3720.21</v>
      </c>
      <c r="I262" s="2">
        <v>13</v>
      </c>
      <c r="J262" s="2">
        <v>-232.89</v>
      </c>
    </row>
    <row r="263" spans="1:10" ht="15.75" customHeight="1" x14ac:dyDescent="0.25">
      <c r="A263" s="2" t="s">
        <v>298</v>
      </c>
      <c r="B263" s="3">
        <v>45219</v>
      </c>
      <c r="C263" s="2" t="s">
        <v>40</v>
      </c>
      <c r="D263" s="2" t="s">
        <v>22</v>
      </c>
      <c r="E263" s="2" t="s">
        <v>23</v>
      </c>
      <c r="F263" s="2" t="s">
        <v>43</v>
      </c>
      <c r="G263" s="2" t="s">
        <v>25</v>
      </c>
      <c r="H263" s="2">
        <v>385.54</v>
      </c>
      <c r="I263" s="2">
        <v>17</v>
      </c>
      <c r="J263" s="2">
        <v>1209</v>
      </c>
    </row>
    <row r="264" spans="1:10" ht="15.75" customHeight="1" x14ac:dyDescent="0.25">
      <c r="A264" s="2" t="s">
        <v>299</v>
      </c>
      <c r="B264" s="3">
        <v>45220</v>
      </c>
      <c r="C264" s="2" t="s">
        <v>27</v>
      </c>
      <c r="D264" s="2" t="s">
        <v>22</v>
      </c>
      <c r="E264" s="2" t="s">
        <v>18</v>
      </c>
      <c r="F264" s="2" t="s">
        <v>32</v>
      </c>
      <c r="G264" s="2" t="s">
        <v>15</v>
      </c>
      <c r="H264" s="2">
        <v>3406.41</v>
      </c>
      <c r="I264" s="2">
        <v>31</v>
      </c>
      <c r="J264" s="2">
        <v>494.75</v>
      </c>
    </row>
    <row r="265" spans="1:10" ht="15.75" customHeight="1" x14ac:dyDescent="0.25">
      <c r="A265" s="2" t="s">
        <v>300</v>
      </c>
      <c r="B265" s="3">
        <v>45221</v>
      </c>
      <c r="C265" s="2" t="s">
        <v>27</v>
      </c>
      <c r="D265" s="2" t="s">
        <v>28</v>
      </c>
      <c r="E265" s="2" t="s">
        <v>23</v>
      </c>
      <c r="F265" s="2" t="s">
        <v>24</v>
      </c>
      <c r="G265" s="2" t="s">
        <v>33</v>
      </c>
      <c r="H265" s="2">
        <v>4089.82</v>
      </c>
      <c r="I265" s="2">
        <v>27</v>
      </c>
      <c r="J265" s="2">
        <v>669.19</v>
      </c>
    </row>
    <row r="266" spans="1:10" ht="15.75" customHeight="1" x14ac:dyDescent="0.25">
      <c r="A266" s="2" t="s">
        <v>301</v>
      </c>
      <c r="B266" s="3">
        <v>45222</v>
      </c>
      <c r="C266" s="2" t="s">
        <v>17</v>
      </c>
      <c r="D266" s="2" t="s">
        <v>31</v>
      </c>
      <c r="E266" s="2" t="s">
        <v>13</v>
      </c>
      <c r="F266" s="2" t="s">
        <v>50</v>
      </c>
      <c r="G266" s="2" t="s">
        <v>20</v>
      </c>
      <c r="H266" s="2">
        <v>3983.35</v>
      </c>
      <c r="I266" s="2">
        <v>9</v>
      </c>
      <c r="J266" s="2">
        <v>-167.66</v>
      </c>
    </row>
    <row r="267" spans="1:10" ht="15.75" customHeight="1" x14ac:dyDescent="0.25">
      <c r="A267" s="2" t="s">
        <v>302</v>
      </c>
      <c r="B267" s="3">
        <v>45223</v>
      </c>
      <c r="C267" s="2" t="s">
        <v>27</v>
      </c>
      <c r="D267" s="2" t="s">
        <v>28</v>
      </c>
      <c r="E267" s="2" t="s">
        <v>23</v>
      </c>
      <c r="F267" s="2" t="s">
        <v>41</v>
      </c>
      <c r="G267" s="2" t="s">
        <v>33</v>
      </c>
      <c r="H267" s="2">
        <v>2249.15</v>
      </c>
      <c r="I267" s="2">
        <v>19</v>
      </c>
      <c r="J267" s="2">
        <v>1245.27</v>
      </c>
    </row>
    <row r="268" spans="1:10" ht="15.75" customHeight="1" x14ac:dyDescent="0.25">
      <c r="A268" s="2" t="s">
        <v>303</v>
      </c>
      <c r="B268" s="3">
        <v>45224</v>
      </c>
      <c r="C268" s="2" t="s">
        <v>11</v>
      </c>
      <c r="D268" s="2" t="s">
        <v>28</v>
      </c>
      <c r="E268" s="2" t="s">
        <v>38</v>
      </c>
      <c r="F268" s="2" t="s">
        <v>32</v>
      </c>
      <c r="G268" s="2" t="s">
        <v>25</v>
      </c>
      <c r="H268" s="2">
        <v>4131.58</v>
      </c>
      <c r="I268" s="2">
        <v>35</v>
      </c>
      <c r="J268" s="2">
        <v>-155.88</v>
      </c>
    </row>
    <row r="269" spans="1:10" ht="15.75" customHeight="1" x14ac:dyDescent="0.25">
      <c r="A269" s="2" t="s">
        <v>304</v>
      </c>
      <c r="B269" s="3">
        <v>45225</v>
      </c>
      <c r="C269" s="2" t="s">
        <v>27</v>
      </c>
      <c r="D269" s="2" t="s">
        <v>22</v>
      </c>
      <c r="E269" s="2" t="s">
        <v>23</v>
      </c>
      <c r="F269" s="2" t="s">
        <v>32</v>
      </c>
      <c r="G269" s="2" t="s">
        <v>35</v>
      </c>
      <c r="H269" s="2">
        <v>2780.68</v>
      </c>
      <c r="I269" s="2">
        <v>17</v>
      </c>
      <c r="J269" s="2">
        <v>79.8</v>
      </c>
    </row>
    <row r="270" spans="1:10" ht="15.75" customHeight="1" x14ac:dyDescent="0.25">
      <c r="A270" s="2" t="s">
        <v>305</v>
      </c>
      <c r="B270" s="3">
        <v>45226</v>
      </c>
      <c r="C270" s="2" t="s">
        <v>11</v>
      </c>
      <c r="D270" s="2" t="s">
        <v>12</v>
      </c>
      <c r="E270" s="2" t="s">
        <v>38</v>
      </c>
      <c r="F270" s="2" t="s">
        <v>41</v>
      </c>
      <c r="G270" s="2" t="s">
        <v>25</v>
      </c>
      <c r="H270" s="2">
        <v>1014.95</v>
      </c>
      <c r="I270" s="2">
        <v>24</v>
      </c>
      <c r="J270" s="2">
        <v>537.29</v>
      </c>
    </row>
    <row r="271" spans="1:10" ht="15.75" customHeight="1" x14ac:dyDescent="0.25">
      <c r="A271" s="2" t="s">
        <v>306</v>
      </c>
      <c r="B271" s="3">
        <v>45227</v>
      </c>
      <c r="C271" s="2" t="s">
        <v>17</v>
      </c>
      <c r="D271" s="2" t="s">
        <v>31</v>
      </c>
      <c r="E271" s="2" t="s">
        <v>29</v>
      </c>
      <c r="F271" s="2" t="s">
        <v>19</v>
      </c>
      <c r="G271" s="2" t="s">
        <v>25</v>
      </c>
      <c r="H271" s="2">
        <v>1500.11</v>
      </c>
      <c r="I271" s="2">
        <v>24</v>
      </c>
      <c r="J271" s="2">
        <v>595.77</v>
      </c>
    </row>
    <row r="272" spans="1:10" ht="15.75" customHeight="1" x14ac:dyDescent="0.25">
      <c r="A272" s="2" t="s">
        <v>307</v>
      </c>
      <c r="B272" s="3">
        <v>45228</v>
      </c>
      <c r="C272" s="2" t="s">
        <v>11</v>
      </c>
      <c r="D272" s="2" t="s">
        <v>47</v>
      </c>
      <c r="E272" s="2" t="s">
        <v>29</v>
      </c>
      <c r="F272" s="2" t="s">
        <v>14</v>
      </c>
      <c r="G272" s="2" t="s">
        <v>20</v>
      </c>
      <c r="H272" s="2">
        <v>3004.41</v>
      </c>
      <c r="I272" s="2">
        <v>4</v>
      </c>
      <c r="J272" s="2">
        <v>659.8</v>
      </c>
    </row>
    <row r="273" spans="1:10" ht="15.75" customHeight="1" x14ac:dyDescent="0.25">
      <c r="A273" s="2" t="s">
        <v>308</v>
      </c>
      <c r="B273" s="3">
        <v>45229</v>
      </c>
      <c r="C273" s="2" t="s">
        <v>40</v>
      </c>
      <c r="D273" s="2" t="s">
        <v>31</v>
      </c>
      <c r="E273" s="2" t="s">
        <v>18</v>
      </c>
      <c r="F273" s="2" t="s">
        <v>50</v>
      </c>
      <c r="G273" s="2" t="s">
        <v>35</v>
      </c>
      <c r="H273" s="2">
        <v>2807.13</v>
      </c>
      <c r="I273" s="2">
        <v>48</v>
      </c>
      <c r="J273" s="2">
        <v>1384.88</v>
      </c>
    </row>
    <row r="274" spans="1:10" ht="15.75" customHeight="1" x14ac:dyDescent="0.25">
      <c r="A274" s="2" t="s">
        <v>309</v>
      </c>
      <c r="B274" s="3">
        <v>45230</v>
      </c>
      <c r="C274" s="2" t="s">
        <v>11</v>
      </c>
      <c r="D274" s="2" t="s">
        <v>31</v>
      </c>
      <c r="E274" s="2" t="s">
        <v>38</v>
      </c>
      <c r="F274" s="2" t="s">
        <v>70</v>
      </c>
      <c r="G274" s="2" t="s">
        <v>15</v>
      </c>
      <c r="H274" s="2">
        <v>4030.62</v>
      </c>
      <c r="I274" s="2">
        <v>22</v>
      </c>
      <c r="J274" s="2">
        <v>-237.05</v>
      </c>
    </row>
    <row r="275" spans="1:10" ht="15.75" customHeight="1" x14ac:dyDescent="0.25">
      <c r="A275" s="2" t="s">
        <v>310</v>
      </c>
      <c r="B275" s="3">
        <v>45231</v>
      </c>
      <c r="C275" s="2" t="s">
        <v>27</v>
      </c>
      <c r="D275" s="2" t="s">
        <v>31</v>
      </c>
      <c r="E275" s="2" t="s">
        <v>13</v>
      </c>
      <c r="F275" s="2" t="s">
        <v>24</v>
      </c>
      <c r="G275" s="2" t="s">
        <v>25</v>
      </c>
      <c r="H275" s="2">
        <v>3602.98</v>
      </c>
      <c r="I275" s="2">
        <v>29</v>
      </c>
      <c r="J275" s="2">
        <v>917.2</v>
      </c>
    </row>
    <row r="276" spans="1:10" ht="15.75" customHeight="1" x14ac:dyDescent="0.25">
      <c r="A276" s="2" t="s">
        <v>311</v>
      </c>
      <c r="B276" s="3">
        <v>45232</v>
      </c>
      <c r="C276" s="2" t="s">
        <v>40</v>
      </c>
      <c r="D276" s="2" t="s">
        <v>31</v>
      </c>
      <c r="E276" s="2" t="s">
        <v>23</v>
      </c>
      <c r="F276" s="2" t="s">
        <v>70</v>
      </c>
      <c r="G276" s="2" t="s">
        <v>33</v>
      </c>
      <c r="H276" s="2">
        <v>1143.99</v>
      </c>
      <c r="I276" s="2">
        <v>18</v>
      </c>
      <c r="J276" s="2">
        <v>473.61</v>
      </c>
    </row>
    <row r="277" spans="1:10" ht="15.75" customHeight="1" x14ac:dyDescent="0.25">
      <c r="A277" s="2" t="s">
        <v>312</v>
      </c>
      <c r="B277" s="3">
        <v>45233</v>
      </c>
      <c r="C277" s="2" t="s">
        <v>40</v>
      </c>
      <c r="D277" s="2" t="s">
        <v>22</v>
      </c>
      <c r="E277" s="2" t="s">
        <v>29</v>
      </c>
      <c r="F277" s="2" t="s">
        <v>19</v>
      </c>
      <c r="G277" s="2" t="s">
        <v>33</v>
      </c>
      <c r="H277" s="2">
        <v>2047.19</v>
      </c>
      <c r="I277" s="2">
        <v>21</v>
      </c>
      <c r="J277" s="2">
        <v>1162.03</v>
      </c>
    </row>
    <row r="278" spans="1:10" ht="15.75" customHeight="1" x14ac:dyDescent="0.25">
      <c r="A278" s="2" t="s">
        <v>313</v>
      </c>
      <c r="B278" s="3">
        <v>45234</v>
      </c>
      <c r="C278" s="2" t="s">
        <v>27</v>
      </c>
      <c r="D278" s="2" t="s">
        <v>22</v>
      </c>
      <c r="E278" s="2" t="s">
        <v>29</v>
      </c>
      <c r="F278" s="2" t="s">
        <v>50</v>
      </c>
      <c r="G278" s="2" t="s">
        <v>15</v>
      </c>
      <c r="H278" s="2">
        <v>3912.56</v>
      </c>
      <c r="I278" s="2">
        <v>42</v>
      </c>
      <c r="J278" s="2">
        <v>901.52</v>
      </c>
    </row>
    <row r="279" spans="1:10" ht="15.75" customHeight="1" x14ac:dyDescent="0.25">
      <c r="A279" s="2" t="s">
        <v>314</v>
      </c>
      <c r="B279" s="3">
        <v>45235</v>
      </c>
      <c r="C279" s="2" t="s">
        <v>27</v>
      </c>
      <c r="D279" s="2" t="s">
        <v>31</v>
      </c>
      <c r="E279" s="2" t="s">
        <v>13</v>
      </c>
      <c r="F279" s="2" t="s">
        <v>24</v>
      </c>
      <c r="G279" s="2" t="s">
        <v>33</v>
      </c>
      <c r="H279" s="2">
        <v>2344.7800000000002</v>
      </c>
      <c r="I279" s="2">
        <v>46</v>
      </c>
      <c r="J279" s="2">
        <v>1162.69</v>
      </c>
    </row>
    <row r="280" spans="1:10" ht="15.75" customHeight="1" x14ac:dyDescent="0.25">
      <c r="A280" s="2" t="s">
        <v>315</v>
      </c>
      <c r="B280" s="3">
        <v>45236</v>
      </c>
      <c r="C280" s="2" t="s">
        <v>11</v>
      </c>
      <c r="D280" s="2" t="s">
        <v>12</v>
      </c>
      <c r="E280" s="2" t="s">
        <v>29</v>
      </c>
      <c r="F280" s="2" t="s">
        <v>24</v>
      </c>
      <c r="G280" s="2" t="s">
        <v>20</v>
      </c>
      <c r="H280" s="2">
        <v>1202.6500000000001</v>
      </c>
      <c r="I280" s="2">
        <v>6</v>
      </c>
      <c r="J280" s="2">
        <v>1254.3499999999999</v>
      </c>
    </row>
    <row r="281" spans="1:10" ht="15.75" customHeight="1" x14ac:dyDescent="0.25">
      <c r="A281" s="2" t="s">
        <v>316</v>
      </c>
      <c r="B281" s="3">
        <v>45237</v>
      </c>
      <c r="C281" s="2" t="s">
        <v>17</v>
      </c>
      <c r="D281" s="2" t="s">
        <v>12</v>
      </c>
      <c r="E281" s="2" t="s">
        <v>13</v>
      </c>
      <c r="F281" s="2" t="s">
        <v>32</v>
      </c>
      <c r="G281" s="2" t="s">
        <v>20</v>
      </c>
      <c r="H281" s="2">
        <v>4691.76</v>
      </c>
      <c r="I281" s="2">
        <v>20</v>
      </c>
      <c r="J281" s="2">
        <v>1104.72</v>
      </c>
    </row>
    <row r="282" spans="1:10" ht="15.75" customHeight="1" x14ac:dyDescent="0.25">
      <c r="A282" s="2" t="s">
        <v>317</v>
      </c>
      <c r="B282" s="3">
        <v>45238</v>
      </c>
      <c r="C282" s="2" t="s">
        <v>17</v>
      </c>
      <c r="D282" s="2" t="s">
        <v>22</v>
      </c>
      <c r="E282" s="2" t="s">
        <v>18</v>
      </c>
      <c r="F282" s="2" t="s">
        <v>70</v>
      </c>
      <c r="G282" s="2" t="s">
        <v>15</v>
      </c>
      <c r="H282" s="2">
        <v>2300.4699999999998</v>
      </c>
      <c r="I282" s="2">
        <v>33</v>
      </c>
      <c r="J282" s="2">
        <v>-61.94</v>
      </c>
    </row>
    <row r="283" spans="1:10" ht="15.75" customHeight="1" x14ac:dyDescent="0.25">
      <c r="A283" s="2" t="s">
        <v>318</v>
      </c>
      <c r="B283" s="3">
        <v>45239</v>
      </c>
      <c r="C283" s="2" t="s">
        <v>40</v>
      </c>
      <c r="D283" s="2" t="s">
        <v>12</v>
      </c>
      <c r="E283" s="2" t="s">
        <v>29</v>
      </c>
      <c r="F283" s="2" t="s">
        <v>32</v>
      </c>
      <c r="G283" s="2" t="s">
        <v>15</v>
      </c>
      <c r="H283" s="2">
        <v>1612.76</v>
      </c>
      <c r="I283" s="2">
        <v>35</v>
      </c>
      <c r="J283" s="2">
        <v>667</v>
      </c>
    </row>
    <row r="284" spans="1:10" ht="15.75" customHeight="1" x14ac:dyDescent="0.25">
      <c r="A284" s="2" t="s">
        <v>319</v>
      </c>
      <c r="B284" s="3">
        <v>45240</v>
      </c>
      <c r="C284" s="2" t="s">
        <v>40</v>
      </c>
      <c r="D284" s="2" t="s">
        <v>28</v>
      </c>
      <c r="E284" s="2" t="s">
        <v>38</v>
      </c>
      <c r="F284" s="2" t="s">
        <v>41</v>
      </c>
      <c r="G284" s="2" t="s">
        <v>25</v>
      </c>
      <c r="H284" s="2">
        <v>2605.17</v>
      </c>
      <c r="I284" s="2">
        <v>48</v>
      </c>
      <c r="J284" s="2">
        <v>1091.93</v>
      </c>
    </row>
    <row r="285" spans="1:10" ht="15.75" customHeight="1" x14ac:dyDescent="0.25">
      <c r="A285" s="2" t="s">
        <v>320</v>
      </c>
      <c r="B285" s="3">
        <v>45241</v>
      </c>
      <c r="C285" s="2" t="s">
        <v>17</v>
      </c>
      <c r="D285" s="2" t="s">
        <v>47</v>
      </c>
      <c r="E285" s="2" t="s">
        <v>23</v>
      </c>
      <c r="F285" s="2" t="s">
        <v>50</v>
      </c>
      <c r="G285" s="2" t="s">
        <v>35</v>
      </c>
      <c r="H285" s="2">
        <v>1574.5</v>
      </c>
      <c r="I285" s="2">
        <v>40</v>
      </c>
      <c r="J285" s="2">
        <v>1093.93</v>
      </c>
    </row>
    <row r="286" spans="1:10" ht="15.75" customHeight="1" x14ac:dyDescent="0.25">
      <c r="A286" s="2" t="s">
        <v>321</v>
      </c>
      <c r="B286" s="3">
        <v>45242</v>
      </c>
      <c r="C286" s="2" t="s">
        <v>11</v>
      </c>
      <c r="D286" s="2" t="s">
        <v>12</v>
      </c>
      <c r="E286" s="2" t="s">
        <v>18</v>
      </c>
      <c r="F286" s="2" t="s">
        <v>19</v>
      </c>
      <c r="G286" s="2" t="s">
        <v>35</v>
      </c>
      <c r="H286" s="2">
        <v>1424.88</v>
      </c>
      <c r="I286" s="2">
        <v>46</v>
      </c>
      <c r="J286" s="2">
        <v>1368.71</v>
      </c>
    </row>
    <row r="287" spans="1:10" ht="15.75" customHeight="1" x14ac:dyDescent="0.25">
      <c r="A287" s="2" t="s">
        <v>322</v>
      </c>
      <c r="B287" s="3">
        <v>45243</v>
      </c>
      <c r="C287" s="2" t="s">
        <v>40</v>
      </c>
      <c r="D287" s="2" t="s">
        <v>47</v>
      </c>
      <c r="E287" s="2" t="s">
        <v>18</v>
      </c>
      <c r="F287" s="2" t="s">
        <v>14</v>
      </c>
      <c r="G287" s="2" t="s">
        <v>35</v>
      </c>
      <c r="H287" s="2">
        <v>3341.51</v>
      </c>
      <c r="I287" s="2">
        <v>36</v>
      </c>
      <c r="J287" s="2">
        <v>448.63</v>
      </c>
    </row>
    <row r="288" spans="1:10" ht="15.75" customHeight="1" x14ac:dyDescent="0.25">
      <c r="A288" s="2" t="s">
        <v>323</v>
      </c>
      <c r="B288" s="3">
        <v>45244</v>
      </c>
      <c r="C288" s="2" t="s">
        <v>40</v>
      </c>
      <c r="D288" s="2" t="s">
        <v>47</v>
      </c>
      <c r="E288" s="2" t="s">
        <v>38</v>
      </c>
      <c r="F288" s="2" t="s">
        <v>41</v>
      </c>
      <c r="G288" s="2" t="s">
        <v>15</v>
      </c>
      <c r="H288" s="2">
        <v>3996.64</v>
      </c>
      <c r="I288" s="2">
        <v>29</v>
      </c>
      <c r="J288" s="2">
        <v>-283.86</v>
      </c>
    </row>
    <row r="289" spans="1:10" ht="15.75" customHeight="1" x14ac:dyDescent="0.25">
      <c r="A289" s="2" t="s">
        <v>324</v>
      </c>
      <c r="B289" s="3">
        <v>45245</v>
      </c>
      <c r="C289" s="2" t="s">
        <v>40</v>
      </c>
      <c r="D289" s="2" t="s">
        <v>12</v>
      </c>
      <c r="E289" s="2" t="s">
        <v>29</v>
      </c>
      <c r="F289" s="2" t="s">
        <v>24</v>
      </c>
      <c r="G289" s="2" t="s">
        <v>33</v>
      </c>
      <c r="H289" s="2">
        <v>2103.2800000000002</v>
      </c>
      <c r="I289" s="2">
        <v>15</v>
      </c>
      <c r="J289" s="2">
        <v>1009.03</v>
      </c>
    </row>
    <row r="290" spans="1:10" ht="15.75" customHeight="1" x14ac:dyDescent="0.25">
      <c r="A290" s="2" t="s">
        <v>325</v>
      </c>
      <c r="B290" s="3">
        <v>45246</v>
      </c>
      <c r="C290" s="2" t="s">
        <v>17</v>
      </c>
      <c r="D290" s="2" t="s">
        <v>12</v>
      </c>
      <c r="E290" s="2" t="s">
        <v>38</v>
      </c>
      <c r="F290" s="2" t="s">
        <v>41</v>
      </c>
      <c r="G290" s="2" t="s">
        <v>35</v>
      </c>
      <c r="H290" s="2">
        <v>888.61</v>
      </c>
      <c r="I290" s="2">
        <v>11</v>
      </c>
      <c r="J290" s="2">
        <v>200.69</v>
      </c>
    </row>
    <row r="291" spans="1:10" ht="15.75" customHeight="1" x14ac:dyDescent="0.25">
      <c r="A291" s="2" t="s">
        <v>326</v>
      </c>
      <c r="B291" s="3">
        <v>45247</v>
      </c>
      <c r="C291" s="2" t="s">
        <v>27</v>
      </c>
      <c r="D291" s="2" t="s">
        <v>22</v>
      </c>
      <c r="E291" s="2" t="s">
        <v>13</v>
      </c>
      <c r="F291" s="2" t="s">
        <v>19</v>
      </c>
      <c r="G291" s="2" t="s">
        <v>35</v>
      </c>
      <c r="H291" s="2">
        <v>2431.4</v>
      </c>
      <c r="I291" s="2">
        <v>5</v>
      </c>
      <c r="J291" s="2">
        <v>880.09</v>
      </c>
    </row>
    <row r="292" spans="1:10" ht="15.75" customHeight="1" x14ac:dyDescent="0.25">
      <c r="A292" s="2" t="s">
        <v>327</v>
      </c>
      <c r="B292" s="3">
        <v>45248</v>
      </c>
      <c r="C292" s="2" t="s">
        <v>17</v>
      </c>
      <c r="D292" s="2" t="s">
        <v>31</v>
      </c>
      <c r="E292" s="2" t="s">
        <v>38</v>
      </c>
      <c r="F292" s="2" t="s">
        <v>70</v>
      </c>
      <c r="G292" s="2" t="s">
        <v>35</v>
      </c>
      <c r="H292" s="2">
        <v>2067.84</v>
      </c>
      <c r="I292" s="2">
        <v>8</v>
      </c>
      <c r="J292" s="2">
        <v>-211.83</v>
      </c>
    </row>
    <row r="293" spans="1:10" ht="15.75" customHeight="1" x14ac:dyDescent="0.25">
      <c r="A293" s="2" t="s">
        <v>328</v>
      </c>
      <c r="B293" s="3">
        <v>45249</v>
      </c>
      <c r="C293" s="2" t="s">
        <v>17</v>
      </c>
      <c r="D293" s="2" t="s">
        <v>28</v>
      </c>
      <c r="E293" s="2" t="s">
        <v>13</v>
      </c>
      <c r="F293" s="2" t="s">
        <v>41</v>
      </c>
      <c r="G293" s="2" t="s">
        <v>35</v>
      </c>
      <c r="H293" s="2">
        <v>2234.9899999999998</v>
      </c>
      <c r="I293" s="2">
        <v>42</v>
      </c>
      <c r="J293" s="2">
        <v>339.67</v>
      </c>
    </row>
    <row r="294" spans="1:10" ht="15.75" customHeight="1" x14ac:dyDescent="0.25">
      <c r="A294" s="2" t="s">
        <v>329</v>
      </c>
      <c r="B294" s="3">
        <v>45250</v>
      </c>
      <c r="C294" s="2" t="s">
        <v>27</v>
      </c>
      <c r="D294" s="2" t="s">
        <v>12</v>
      </c>
      <c r="E294" s="2" t="s">
        <v>18</v>
      </c>
      <c r="F294" s="2" t="s">
        <v>14</v>
      </c>
      <c r="G294" s="2" t="s">
        <v>25</v>
      </c>
      <c r="H294" s="2">
        <v>1275.3900000000001</v>
      </c>
      <c r="I294" s="2">
        <v>1</v>
      </c>
      <c r="J294" s="2">
        <v>839.68</v>
      </c>
    </row>
    <row r="295" spans="1:10" ht="15.75" customHeight="1" x14ac:dyDescent="0.25">
      <c r="A295" s="2" t="s">
        <v>330</v>
      </c>
      <c r="B295" s="3">
        <v>45251</v>
      </c>
      <c r="C295" s="2" t="s">
        <v>40</v>
      </c>
      <c r="D295" s="2" t="s">
        <v>22</v>
      </c>
      <c r="E295" s="2" t="s">
        <v>18</v>
      </c>
      <c r="F295" s="2" t="s">
        <v>24</v>
      </c>
      <c r="G295" s="2" t="s">
        <v>25</v>
      </c>
      <c r="H295" s="2">
        <v>3871.03</v>
      </c>
      <c r="I295" s="2">
        <v>26</v>
      </c>
      <c r="J295" s="2">
        <v>-73.11</v>
      </c>
    </row>
    <row r="296" spans="1:10" ht="15.75" customHeight="1" x14ac:dyDescent="0.25">
      <c r="A296" s="2" t="s">
        <v>331</v>
      </c>
      <c r="B296" s="3">
        <v>45252</v>
      </c>
      <c r="C296" s="2" t="s">
        <v>11</v>
      </c>
      <c r="D296" s="2" t="s">
        <v>22</v>
      </c>
      <c r="E296" s="2" t="s">
        <v>13</v>
      </c>
      <c r="F296" s="2" t="s">
        <v>24</v>
      </c>
      <c r="G296" s="2" t="s">
        <v>33</v>
      </c>
      <c r="H296" s="2">
        <v>1090.92</v>
      </c>
      <c r="I296" s="2">
        <v>3</v>
      </c>
      <c r="J296" s="2">
        <v>270.83999999999997</v>
      </c>
    </row>
    <row r="297" spans="1:10" ht="15.75" customHeight="1" x14ac:dyDescent="0.25">
      <c r="A297" s="2" t="s">
        <v>332</v>
      </c>
      <c r="B297" s="3">
        <v>45253</v>
      </c>
      <c r="C297" s="2" t="s">
        <v>17</v>
      </c>
      <c r="D297" s="2" t="s">
        <v>22</v>
      </c>
      <c r="E297" s="2" t="s">
        <v>18</v>
      </c>
      <c r="F297" s="2" t="s">
        <v>24</v>
      </c>
      <c r="G297" s="2" t="s">
        <v>35</v>
      </c>
      <c r="H297" s="2">
        <v>289.37</v>
      </c>
      <c r="I297" s="2">
        <v>18</v>
      </c>
      <c r="J297" s="2">
        <v>-38.93</v>
      </c>
    </row>
    <row r="298" spans="1:10" ht="15.75" customHeight="1" x14ac:dyDescent="0.25">
      <c r="A298" s="2" t="s">
        <v>333</v>
      </c>
      <c r="B298" s="3">
        <v>45254</v>
      </c>
      <c r="C298" s="2" t="s">
        <v>11</v>
      </c>
      <c r="D298" s="2" t="s">
        <v>28</v>
      </c>
      <c r="E298" s="2" t="s">
        <v>29</v>
      </c>
      <c r="F298" s="2" t="s">
        <v>24</v>
      </c>
      <c r="G298" s="2" t="s">
        <v>15</v>
      </c>
      <c r="H298" s="2">
        <v>3530.56</v>
      </c>
      <c r="I298" s="2">
        <v>29</v>
      </c>
      <c r="J298" s="2">
        <v>1303.93</v>
      </c>
    </row>
    <row r="299" spans="1:10" ht="15.75" customHeight="1" x14ac:dyDescent="0.25">
      <c r="A299" s="2" t="s">
        <v>334</v>
      </c>
      <c r="B299" s="3">
        <v>45255</v>
      </c>
      <c r="C299" s="2" t="s">
        <v>17</v>
      </c>
      <c r="D299" s="2" t="s">
        <v>31</v>
      </c>
      <c r="E299" s="2" t="s">
        <v>23</v>
      </c>
      <c r="F299" s="2" t="s">
        <v>14</v>
      </c>
      <c r="G299" s="2" t="s">
        <v>33</v>
      </c>
      <c r="H299" s="2">
        <v>3738.26</v>
      </c>
      <c r="I299" s="2">
        <v>29</v>
      </c>
      <c r="J299" s="2">
        <v>1093.76</v>
      </c>
    </row>
    <row r="300" spans="1:10" ht="15.75" customHeight="1" x14ac:dyDescent="0.25">
      <c r="A300" s="2" t="s">
        <v>335</v>
      </c>
      <c r="B300" s="3">
        <v>45256</v>
      </c>
      <c r="C300" s="2" t="s">
        <v>40</v>
      </c>
      <c r="D300" s="2" t="s">
        <v>31</v>
      </c>
      <c r="E300" s="2" t="s">
        <v>29</v>
      </c>
      <c r="F300" s="2" t="s">
        <v>19</v>
      </c>
      <c r="G300" s="2" t="s">
        <v>15</v>
      </c>
      <c r="H300" s="2">
        <v>1269.92</v>
      </c>
      <c r="I300" s="2">
        <v>18</v>
      </c>
      <c r="J300" s="2">
        <v>849.31</v>
      </c>
    </row>
    <row r="301" spans="1:10" ht="15.75" customHeight="1" x14ac:dyDescent="0.25">
      <c r="A301" s="2" t="s">
        <v>336</v>
      </c>
      <c r="B301" s="3">
        <v>45257</v>
      </c>
      <c r="C301" s="2" t="s">
        <v>27</v>
      </c>
      <c r="D301" s="2" t="s">
        <v>28</v>
      </c>
      <c r="E301" s="2" t="s">
        <v>38</v>
      </c>
      <c r="F301" s="2" t="s">
        <v>14</v>
      </c>
      <c r="G301" s="2" t="s">
        <v>20</v>
      </c>
      <c r="H301" s="2">
        <v>949.69</v>
      </c>
      <c r="I301" s="2">
        <v>27</v>
      </c>
      <c r="J301" s="2">
        <v>635.89</v>
      </c>
    </row>
    <row r="302" spans="1:10" ht="15.75" customHeight="1" x14ac:dyDescent="0.25"/>
    <row r="303" spans="1:10" ht="15.75" customHeight="1" x14ac:dyDescent="0.25"/>
    <row r="304" spans="1:10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21"/>
  <sheetViews>
    <sheetView workbookViewId="0">
      <selection activeCell="B18" sqref="B18"/>
    </sheetView>
  </sheetViews>
  <sheetFormatPr defaultColWidth="14.42578125" defaultRowHeight="15" customHeight="1" x14ac:dyDescent="0.25"/>
  <cols>
    <col min="2" max="2" width="82.5703125" customWidth="1"/>
  </cols>
  <sheetData>
    <row r="1" spans="1:8" x14ac:dyDescent="0.25">
      <c r="A1" s="6" t="s">
        <v>337</v>
      </c>
      <c r="B1" s="6" t="s">
        <v>338</v>
      </c>
      <c r="C1" s="7"/>
      <c r="D1" s="12"/>
      <c r="E1" s="12"/>
      <c r="F1" s="12"/>
      <c r="G1" s="12"/>
      <c r="H1" s="13"/>
    </row>
    <row r="2" spans="1:8" x14ac:dyDescent="0.25">
      <c r="A2" s="8">
        <v>1</v>
      </c>
      <c r="B2" s="9" t="s">
        <v>339</v>
      </c>
      <c r="C2" s="23">
        <f>COUNTA(_xlfn.UNIQUE(Data!F:F))</f>
        <v>10</v>
      </c>
      <c r="D2" s="12"/>
      <c r="E2" s="12"/>
      <c r="F2" s="12"/>
      <c r="G2" s="12"/>
      <c r="H2" s="13"/>
    </row>
    <row r="3" spans="1:8" x14ac:dyDescent="0.25">
      <c r="A3" s="8">
        <v>2</v>
      </c>
      <c r="B3" s="9" t="s">
        <v>340</v>
      </c>
      <c r="C3" s="7"/>
      <c r="D3" s="12"/>
      <c r="E3" s="12"/>
      <c r="F3" s="12"/>
      <c r="G3" s="12"/>
      <c r="H3" s="13"/>
    </row>
    <row r="4" spans="1:8" x14ac:dyDescent="0.25">
      <c r="A4" s="8">
        <v>3</v>
      </c>
      <c r="B4" s="18" t="s">
        <v>341</v>
      </c>
      <c r="C4" s="7"/>
      <c r="D4" s="12"/>
      <c r="E4" s="12"/>
      <c r="F4" s="12"/>
      <c r="G4" s="12"/>
      <c r="H4" s="13"/>
    </row>
    <row r="5" spans="1:8" x14ac:dyDescent="0.25">
      <c r="A5" s="8">
        <v>4</v>
      </c>
      <c r="B5" s="18" t="s">
        <v>342</v>
      </c>
      <c r="C5" s="7"/>
      <c r="D5" s="12"/>
      <c r="E5" s="12"/>
      <c r="F5" s="12"/>
      <c r="G5" s="12"/>
      <c r="H5" s="13"/>
    </row>
    <row r="6" spans="1:8" x14ac:dyDescent="0.25">
      <c r="A6" s="8">
        <v>5</v>
      </c>
      <c r="B6" s="18" t="s">
        <v>343</v>
      </c>
      <c r="C6" s="23" t="s">
        <v>31</v>
      </c>
      <c r="D6" s="12"/>
      <c r="E6" s="12"/>
      <c r="F6" s="12"/>
      <c r="G6" s="12"/>
      <c r="H6" s="13"/>
    </row>
    <row r="7" spans="1:8" x14ac:dyDescent="0.25">
      <c r="A7" s="8">
        <v>6</v>
      </c>
      <c r="B7" s="18" t="s">
        <v>344</v>
      </c>
      <c r="C7" s="7"/>
      <c r="D7" s="12"/>
      <c r="E7" s="12"/>
      <c r="F7" s="12"/>
      <c r="G7" s="12"/>
      <c r="H7" s="13"/>
    </row>
    <row r="8" spans="1:8" x14ac:dyDescent="0.25">
      <c r="A8" s="8">
        <v>7</v>
      </c>
      <c r="B8" s="18" t="s">
        <v>345</v>
      </c>
      <c r="C8" s="7"/>
      <c r="D8" s="12"/>
      <c r="E8" s="12"/>
      <c r="F8" s="12"/>
      <c r="G8" s="12"/>
      <c r="H8" s="13"/>
    </row>
    <row r="9" spans="1:8" x14ac:dyDescent="0.25">
      <c r="A9" s="8">
        <v>8</v>
      </c>
      <c r="B9" s="18" t="s">
        <v>346</v>
      </c>
      <c r="C9" s="23" t="s">
        <v>372</v>
      </c>
      <c r="D9" s="12"/>
      <c r="E9" s="12"/>
      <c r="F9" s="12"/>
      <c r="G9" s="12"/>
      <c r="H9" s="13"/>
    </row>
    <row r="10" spans="1:8" x14ac:dyDescent="0.25">
      <c r="A10" s="8">
        <v>9</v>
      </c>
      <c r="B10" s="18" t="s">
        <v>347</v>
      </c>
      <c r="C10" s="23" t="s">
        <v>18</v>
      </c>
      <c r="D10" s="12"/>
      <c r="E10" s="12"/>
      <c r="F10" s="12"/>
      <c r="G10" s="12"/>
      <c r="H10" s="13"/>
    </row>
    <row r="11" spans="1:8" x14ac:dyDescent="0.25">
      <c r="A11" s="8">
        <v>10</v>
      </c>
      <c r="B11" s="18" t="s">
        <v>348</v>
      </c>
      <c r="C11" s="7"/>
      <c r="D11" s="12"/>
      <c r="E11" s="12"/>
      <c r="F11" s="12"/>
      <c r="G11" s="12"/>
      <c r="H11" s="13"/>
    </row>
    <row r="12" spans="1:8" x14ac:dyDescent="0.25">
      <c r="A12" s="10"/>
      <c r="B12" s="10"/>
      <c r="C12" s="11"/>
      <c r="D12" s="14"/>
      <c r="E12" s="14"/>
      <c r="F12" s="14"/>
      <c r="G12" s="14"/>
      <c r="H12" s="13"/>
    </row>
    <row r="13" spans="1:8" x14ac:dyDescent="0.25">
      <c r="A13" s="4"/>
      <c r="B13" s="4"/>
      <c r="C13" s="5"/>
      <c r="D13" s="5"/>
      <c r="E13" s="5"/>
      <c r="F13" s="5"/>
      <c r="G13" s="5"/>
    </row>
    <row r="14" spans="1:8" x14ac:dyDescent="0.25">
      <c r="A14" s="4"/>
      <c r="B14" s="4"/>
      <c r="C14" s="5"/>
      <c r="D14" s="5"/>
      <c r="E14" s="5"/>
      <c r="F14" s="5"/>
      <c r="G14" s="5"/>
    </row>
    <row r="15" spans="1:8" x14ac:dyDescent="0.25">
      <c r="A15" s="4"/>
      <c r="B15" s="4"/>
      <c r="C15" s="5"/>
      <c r="D15" s="5"/>
      <c r="E15" s="5"/>
      <c r="F15" s="5"/>
      <c r="G15" s="5"/>
    </row>
    <row r="16" spans="1:8" x14ac:dyDescent="0.25">
      <c r="A16" s="4"/>
      <c r="B16" s="4"/>
      <c r="C16" s="5"/>
      <c r="D16" s="5"/>
      <c r="E16" s="5"/>
      <c r="F16" s="5"/>
      <c r="G16" s="5"/>
    </row>
    <row r="17" spans="1:7" x14ac:dyDescent="0.25">
      <c r="A17" s="4"/>
      <c r="B17" s="4"/>
      <c r="C17" s="5"/>
      <c r="D17" s="5"/>
      <c r="E17" s="5"/>
      <c r="F17" s="5"/>
      <c r="G17" s="5"/>
    </row>
    <row r="18" spans="1:7" x14ac:dyDescent="0.25">
      <c r="A18" s="4"/>
      <c r="B18" s="4"/>
      <c r="C18" s="5"/>
      <c r="D18" s="5"/>
      <c r="E18" s="5"/>
      <c r="F18" s="5"/>
      <c r="G18" s="5"/>
    </row>
    <row r="19" spans="1:7" x14ac:dyDescent="0.25">
      <c r="A19" s="4"/>
      <c r="B19" s="4"/>
      <c r="C19" s="5"/>
      <c r="D19" s="5"/>
      <c r="E19" s="5"/>
      <c r="F19" s="5"/>
      <c r="G19" s="5"/>
    </row>
    <row r="20" spans="1:7" x14ac:dyDescent="0.25">
      <c r="A20" s="4"/>
      <c r="B20" s="4"/>
      <c r="C20" s="5"/>
      <c r="D20" s="5"/>
      <c r="E20" s="5"/>
      <c r="F20" s="5"/>
      <c r="G20" s="5"/>
    </row>
    <row r="21" spans="1:7" x14ac:dyDescent="0.25">
      <c r="A21" s="4"/>
      <c r="B21" s="4"/>
      <c r="C21" s="5"/>
      <c r="D21" s="5"/>
      <c r="E21" s="5"/>
      <c r="F21" s="5"/>
      <c r="G2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Answers</vt:lpstr>
      <vt:lpstr>Data</vt:lpstr>
      <vt:lpstr>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Siddhesh Boraste</cp:lastModifiedBy>
  <dcterms:modified xsi:type="dcterms:W3CDTF">2025-09-19T10:30:35Z</dcterms:modified>
</cp:coreProperties>
</file>