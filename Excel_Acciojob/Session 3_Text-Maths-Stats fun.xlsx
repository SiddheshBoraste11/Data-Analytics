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ag/Desktop/Parag/Professional/Corporate/Accio/Excel/Practice Datasets/"/>
    </mc:Choice>
  </mc:AlternateContent>
  <xr:revisionPtr revIDLastSave="0" documentId="13_ncr:1_{2411530B-CB4C-0A40-BE72-A38D4B1C5F00}" xr6:coauthVersionLast="47" xr6:coauthVersionMax="47" xr10:uidLastSave="{00000000-0000-0000-0000-000000000000}"/>
  <bookViews>
    <workbookView xWindow="0" yWindow="0" windowWidth="28800" windowHeight="18000" xr2:uid="{4F268020-E3A2-4C13-89E3-6534661BFB4A}"/>
  </bookViews>
  <sheets>
    <sheet name="Textfunctions" sheetId="2" r:id="rId1"/>
    <sheet name="Maths-Stat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3" i="5" l="1" a="1"/>
  <c r="C143" i="5" s="1"/>
  <c r="E137" i="5"/>
  <c r="C144" i="5" a="1"/>
  <c r="C144" i="5" s="1"/>
  <c r="E134" i="5"/>
  <c r="E129" i="5"/>
  <c r="E126" i="5"/>
  <c r="E122" i="5"/>
  <c r="E118" i="5"/>
  <c r="E24" i="5"/>
  <c r="F4" i="5"/>
  <c r="A67" i="2"/>
  <c r="A60" i="2" a="1"/>
  <c r="A60" i="2" s="1"/>
  <c r="G150" i="5" a="1"/>
  <c r="G150" i="5" s="1"/>
  <c r="A150" i="5" a="1"/>
  <c r="A150" i="5" s="1"/>
  <c r="F84" i="5"/>
  <c r="F80" i="5"/>
  <c r="C103" i="5"/>
  <c r="C104" i="5"/>
  <c r="C105" i="5"/>
  <c r="C106" i="5"/>
  <c r="C107" i="5"/>
  <c r="C108" i="5"/>
  <c r="C109" i="5"/>
  <c r="C110" i="5"/>
  <c r="C102" i="5"/>
  <c r="B103" i="5"/>
  <c r="B104" i="5"/>
  <c r="B105" i="5"/>
  <c r="B106" i="5"/>
  <c r="B107" i="5"/>
  <c r="B108" i="5"/>
  <c r="B109" i="5"/>
  <c r="B110" i="5"/>
  <c r="B102" i="5"/>
  <c r="F25" i="5"/>
  <c r="F26" i="5"/>
  <c r="F27" i="5"/>
  <c r="F24" i="5"/>
  <c r="E25" i="5"/>
  <c r="E26" i="5"/>
  <c r="E27" i="5"/>
  <c r="B10" i="5"/>
  <c r="C96" i="5"/>
  <c r="B96" i="5"/>
  <c r="A96" i="5"/>
  <c r="B89" i="5"/>
  <c r="B88" i="5"/>
  <c r="B87" i="5"/>
  <c r="B75" i="5"/>
  <c r="B77" i="5" s="1"/>
  <c r="E139" i="5" l="1"/>
  <c r="B76" i="5"/>
  <c r="A4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<sst xmlns="http://schemas.openxmlformats.org/spreadsheetml/2006/main" count="308" uniqueCount="152">
  <si>
    <t>SUM</t>
  </si>
  <si>
    <t>Publisher</t>
  </si>
  <si>
    <t>Sales</t>
  </si>
  <si>
    <t>Avalon Interactive</t>
  </si>
  <si>
    <t>Avanquest</t>
  </si>
  <si>
    <t>Avanquest Software</t>
  </si>
  <si>
    <t>Berkeley</t>
  </si>
  <si>
    <t>Nintendo</t>
  </si>
  <si>
    <t>First Name</t>
  </si>
  <si>
    <t>Last Name</t>
  </si>
  <si>
    <t>Salary</t>
  </si>
  <si>
    <t>Mina</t>
  </si>
  <si>
    <t>Hans</t>
  </si>
  <si>
    <t>Agni</t>
  </si>
  <si>
    <t>Dalal</t>
  </si>
  <si>
    <t>Gurdeep</t>
  </si>
  <si>
    <t>Narayanan</t>
  </si>
  <si>
    <t>Aditi</t>
  </si>
  <si>
    <t>Sahota</t>
  </si>
  <si>
    <t>Arjun</t>
  </si>
  <si>
    <t>Loyal</t>
  </si>
  <si>
    <t>_x000C_Mina</t>
  </si>
  <si>
    <t>Hans </t>
  </si>
  <si>
    <t>_x000C_Narayanan</t>
  </si>
  <si>
    <t>Account Number</t>
  </si>
  <si>
    <t>1156-5364-1283-5331</t>
  </si>
  <si>
    <t>9368-9463-5260-7651</t>
  </si>
  <si>
    <t>6135-3442-5877-9447</t>
  </si>
  <si>
    <t>8862-5867-3856-4455</t>
  </si>
  <si>
    <t>6579-5581-2214-3270</t>
  </si>
  <si>
    <t>Masked Account Number</t>
  </si>
  <si>
    <t xml:space="preserve">Dalal     </t>
  </si>
  <si>
    <t xml:space="preserve">Sahota     </t>
  </si>
  <si>
    <t xml:space="preserve">Gurdeep     </t>
  </si>
  <si>
    <t xml:space="preserve">Agni     </t>
  </si>
  <si>
    <t xml:space="preserve">     Arjun</t>
  </si>
  <si>
    <t>Full Name</t>
  </si>
  <si>
    <t>₹ 70000</t>
  </si>
  <si>
    <t>₹ 1,50,000</t>
  </si>
  <si>
    <t>This is a sample sentence</t>
  </si>
  <si>
    <t>Employee Names</t>
  </si>
  <si>
    <t>Mina Hans</t>
  </si>
  <si>
    <t>Agni Dalal</t>
  </si>
  <si>
    <t>Gurdeep Narayanan</t>
  </si>
  <si>
    <t>Aditi Sahota</t>
  </si>
  <si>
    <t>Arjun Loyal</t>
  </si>
  <si>
    <t xml:space="preserve"> </t>
  </si>
  <si>
    <t xml:space="preserve">, </t>
  </si>
  <si>
    <t>Jan,Feb,Mar,Apr,May,Jun,Jul,Aug,Sep,Oct,Nov,Dec;1000,2000,3000,4000,5000,6000,7000,8000,9000,10000,11000,12000</t>
  </si>
  <si>
    <t>Clean, Length, Substitute</t>
  </si>
  <si>
    <t>Concate, &amp;, Trim</t>
  </si>
  <si>
    <t>Upper</t>
  </si>
  <si>
    <t>Lower</t>
  </si>
  <si>
    <t>Proper</t>
  </si>
  <si>
    <t>Upper, Lower, Proper</t>
  </si>
  <si>
    <t>Replace,Left,Right,Mid</t>
  </si>
  <si>
    <t>Search,Find</t>
  </si>
  <si>
    <t>Textjoint</t>
  </si>
  <si>
    <t>Textsplit</t>
  </si>
  <si>
    <t>ArraytoText</t>
  </si>
  <si>
    <t>Sports</t>
  </si>
  <si>
    <t>Racing</t>
  </si>
  <si>
    <t>Simulation</t>
  </si>
  <si>
    <t>Shooter</t>
  </si>
  <si>
    <t>Puzzle</t>
  </si>
  <si>
    <t>Genre</t>
  </si>
  <si>
    <t>BLANK CELLS</t>
  </si>
  <si>
    <t>Rule 3</t>
  </si>
  <si>
    <t>Rule 4 | Rule 1</t>
  </si>
  <si>
    <t>Avanquest Software and sales&gt;1,00,000</t>
  </si>
  <si>
    <t>Rule 4</t>
  </si>
  <si>
    <t>Rule 2 | Rule 3 | Rule 4</t>
  </si>
  <si>
    <t>MIN for &lt;&gt;Ava*</t>
  </si>
  <si>
    <t>Records &gt;20</t>
  </si>
  <si>
    <t>Rule 2 | Rule 4</t>
  </si>
  <si>
    <t>MAX for &lt;&gt;Ava*</t>
  </si>
  <si>
    <t>Beginning with Ava</t>
  </si>
  <si>
    <t>Rule 2</t>
  </si>
  <si>
    <t>Rule 1 | Rule 2</t>
  </si>
  <si>
    <t>MINIMUM SALE</t>
  </si>
  <si>
    <t>Records</t>
  </si>
  <si>
    <t>Rule 1</t>
  </si>
  <si>
    <t>MAXIMUM SALE</t>
  </si>
  <si>
    <t>Rule List</t>
  </si>
  <si>
    <t>Average</t>
  </si>
  <si>
    <t>Count</t>
  </si>
  <si>
    <t>&gt;=</t>
  </si>
  <si>
    <t>&lt;=</t>
  </si>
  <si>
    <t>&lt;&gt;</t>
  </si>
  <si>
    <t>&gt;</t>
  </si>
  <si>
    <t>&lt;</t>
  </si>
  <si>
    <t>Sum</t>
  </si>
  <si>
    <t>Sum,Sumif</t>
  </si>
  <si>
    <t>Wildcards</t>
  </si>
  <si>
    <t>Sumifs</t>
  </si>
  <si>
    <t>Logital Operators</t>
  </si>
  <si>
    <t>less than</t>
  </si>
  <si>
    <t>Greater than</t>
  </si>
  <si>
    <t>not equal to</t>
  </si>
  <si>
    <t>less than equal to</t>
  </si>
  <si>
    <t>greater than equal to</t>
  </si>
  <si>
    <t>Avarage,avarageif,avarageifs</t>
  </si>
  <si>
    <t>Min,Max,Minifs,Maxifs</t>
  </si>
  <si>
    <t>EVEN</t>
  </si>
  <si>
    <t>ODD</t>
  </si>
  <si>
    <t>TOTAL SALE</t>
  </si>
  <si>
    <t>ROUNDING DIRECTION</t>
  </si>
  <si>
    <t>&lt;----</t>
  </si>
  <si>
    <t>----&gt;</t>
  </si>
  <si>
    <t>10s</t>
  </si>
  <si>
    <t>100s</t>
  </si>
  <si>
    <t>1000s</t>
  </si>
  <si>
    <t>Round,Roundup,Rounddown</t>
  </si>
  <si>
    <t>Rounded to 2 decimal</t>
  </si>
  <si>
    <t>Rounded to 0 decimal</t>
  </si>
  <si>
    <t>Negative Rounding</t>
  </si>
  <si>
    <t>Roundup</t>
  </si>
  <si>
    <t>Rounddown</t>
  </si>
  <si>
    <t>Even,Odd</t>
  </si>
  <si>
    <t>Subtotal</t>
  </si>
  <si>
    <t>Function</t>
  </si>
  <si>
    <t>Include hidden</t>
  </si>
  <si>
    <t>Ignore hidden</t>
  </si>
  <si>
    <t>Date</t>
  </si>
  <si>
    <t>Qty</t>
  </si>
  <si>
    <t>Unit Sales</t>
  </si>
  <si>
    <t>AVERAGE</t>
  </si>
  <si>
    <t>COUNT</t>
  </si>
  <si>
    <t>COUNTA</t>
  </si>
  <si>
    <t>MAX</t>
  </si>
  <si>
    <t>MIN</t>
  </si>
  <si>
    <t>PRODUCT</t>
  </si>
  <si>
    <t>STDEV</t>
  </si>
  <si>
    <t>STDEVP</t>
  </si>
  <si>
    <t>VAR</t>
  </si>
  <si>
    <t>VARP</t>
  </si>
  <si>
    <t>Total Sales</t>
  </si>
  <si>
    <t>Total Count</t>
  </si>
  <si>
    <t>Sumproduct</t>
  </si>
  <si>
    <t>Sequence,Randarray</t>
  </si>
  <si>
    <t>Sr. No.</t>
  </si>
  <si>
    <t>Randarray</t>
  </si>
  <si>
    <t>Left</t>
  </si>
  <si>
    <t>Right</t>
  </si>
  <si>
    <t>Mid</t>
  </si>
  <si>
    <t>Value, Valuetotext</t>
  </si>
  <si>
    <t>Doublenegative (to numbers)</t>
  </si>
  <si>
    <t>Column1</t>
  </si>
  <si>
    <t>`</t>
  </si>
  <si>
    <t>Search</t>
  </si>
  <si>
    <t>Find</t>
  </si>
  <si>
    <t>Count,CountA,Countif,Countifs,Countblank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</si>
</sst>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₹&quot;#,##0.00_);[Red]\(&quot;₹&quot;#,##0.00\)"/>
    <numFmt numFmtId="43" formatCode="_(* #,##0.00_);_(* \(#,##0.00\);_(* &quot;-&quot;??_);_(@_)"/>
    <numFmt numFmtId="164" formatCode="&quot;₹&quot;\ #,##0.00"/>
    <numFmt numFmtId="165" formatCode="&quot;₹&quot;\ #,##0.000000"/>
    <numFmt numFmtId="166" formatCode="&quot;₹&quot;\ #,##0.000"/>
    <numFmt numFmtId="167" formatCode="dd/mm/yyyy"/>
    <numFmt numFmtId="168" formatCode="&quot;₹&quot;#,##0.00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454545"/>
      <name val="Courier New"/>
      <family val="3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91">
    <xf numFmtId="0" fontId="0" fillId="0" borderId="0" xfId="0"/>
    <xf numFmtId="164" fontId="0" fillId="0" borderId="0" xfId="0" applyNumberFormat="1"/>
    <xf numFmtId="0" fontId="0" fillId="3" borderId="1" xfId="0" applyFill="1" applyBorder="1"/>
    <xf numFmtId="0" fontId="0" fillId="3" borderId="3" xfId="0" applyFill="1" applyBorder="1"/>
    <xf numFmtId="164" fontId="0" fillId="3" borderId="4" xfId="0" applyNumberFormat="1" applyFill="1" applyBorder="1"/>
    <xf numFmtId="0" fontId="0" fillId="0" borderId="3" xfId="0" applyBorder="1"/>
    <xf numFmtId="164" fontId="0" fillId="0" borderId="4" xfId="0" applyNumberFormat="1" applyBorder="1"/>
    <xf numFmtId="164" fontId="0" fillId="3" borderId="2" xfId="0" applyNumberForma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3" borderId="5" xfId="0" applyFill="1" applyBorder="1"/>
    <xf numFmtId="0" fontId="0" fillId="0" borderId="5" xfId="0" applyBorder="1"/>
    <xf numFmtId="0" fontId="0" fillId="3" borderId="6" xfId="0" applyFill="1" applyBorder="1"/>
    <xf numFmtId="0" fontId="0" fillId="4" borderId="0" xfId="0" applyFill="1"/>
    <xf numFmtId="49" fontId="0" fillId="3" borderId="4" xfId="0" applyNumberFormat="1" applyFill="1" applyBorder="1"/>
    <xf numFmtId="0" fontId="1" fillId="2" borderId="3" xfId="0" applyFont="1" applyFill="1" applyBorder="1" applyAlignment="1">
      <alignment horizontal="left"/>
    </xf>
    <xf numFmtId="0" fontId="0" fillId="0" borderId="7" xfId="0" applyBorder="1"/>
    <xf numFmtId="0" fontId="0" fillId="0" borderId="0" xfId="0" quotePrefix="1"/>
    <xf numFmtId="0" fontId="1" fillId="2" borderId="0" xfId="0" applyFont="1" applyFill="1" applyAlignment="1">
      <alignment horizontal="center"/>
    </xf>
    <xf numFmtId="0" fontId="3" fillId="0" borderId="0" xfId="0" applyFont="1"/>
    <xf numFmtId="0" fontId="3" fillId="0" borderId="0" xfId="0" quotePrefix="1" applyFont="1"/>
    <xf numFmtId="164" fontId="0" fillId="0" borderId="8" xfId="0" applyNumberFormat="1" applyBorder="1"/>
    <xf numFmtId="0" fontId="0" fillId="0" borderId="8" xfId="0" applyBorder="1"/>
    <xf numFmtId="164" fontId="0" fillId="3" borderId="8" xfId="0" applyNumberFormat="1" applyFill="1" applyBorder="1"/>
    <xf numFmtId="0" fontId="0" fillId="3" borderId="8" xfId="0" applyFill="1" applyBorder="1"/>
    <xf numFmtId="0" fontId="1" fillId="2" borderId="8" xfId="0" applyFont="1" applyFill="1" applyBorder="1" applyAlignment="1">
      <alignment horizontal="center"/>
    </xf>
    <xf numFmtId="3" fontId="0" fillId="3" borderId="8" xfId="0" applyNumberFormat="1" applyFill="1" applyBorder="1"/>
    <xf numFmtId="3" fontId="0" fillId="0" borderId="8" xfId="0" applyNumberFormat="1" applyBorder="1"/>
    <xf numFmtId="3" fontId="0" fillId="3" borderId="9" xfId="0" applyNumberFormat="1" applyFill="1" applyBorder="1"/>
    <xf numFmtId="4" fontId="0" fillId="3" borderId="8" xfId="0" applyNumberFormat="1" applyFill="1" applyBorder="1"/>
    <xf numFmtId="164" fontId="0" fillId="5" borderId="8" xfId="0" applyNumberFormat="1" applyFill="1" applyBorder="1"/>
    <xf numFmtId="0" fontId="0" fillId="3" borderId="10" xfId="0" applyFill="1" applyBorder="1"/>
    <xf numFmtId="164" fontId="4" fillId="4" borderId="0" xfId="0" applyNumberFormat="1" applyFont="1" applyFill="1"/>
    <xf numFmtId="3" fontId="0" fillId="5" borderId="8" xfId="0" applyNumberFormat="1" applyFill="1" applyBorder="1"/>
    <xf numFmtId="0" fontId="6" fillId="6" borderId="8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165" fontId="0" fillId="3" borderId="8" xfId="0" applyNumberFormat="1" applyFill="1" applyBorder="1"/>
    <xf numFmtId="165" fontId="0" fillId="0" borderId="8" xfId="0" applyNumberFormat="1" applyBorder="1"/>
    <xf numFmtId="0" fontId="7" fillId="3" borderId="8" xfId="0" applyFont="1" applyFill="1" applyBorder="1" applyAlignment="1">
      <alignment horizontal="right"/>
    </xf>
    <xf numFmtId="165" fontId="0" fillId="0" borderId="0" xfId="0" applyNumberFormat="1"/>
    <xf numFmtId="0" fontId="8" fillId="0" borderId="0" xfId="0" applyFont="1"/>
    <xf numFmtId="166" fontId="0" fillId="0" borderId="0" xfId="0" applyNumberFormat="1"/>
    <xf numFmtId="0" fontId="0" fillId="3" borderId="8" xfId="0" applyFill="1" applyBorder="1" applyAlignment="1">
      <alignment horizontal="center"/>
    </xf>
    <xf numFmtId="0" fontId="0" fillId="0" borderId="0" xfId="0" applyAlignment="1">
      <alignment horizontal="right"/>
    </xf>
    <xf numFmtId="166" fontId="0" fillId="3" borderId="8" xfId="0" applyNumberFormat="1" applyFill="1" applyBorder="1"/>
    <xf numFmtId="0" fontId="9" fillId="0" borderId="0" xfId="0" applyFont="1"/>
    <xf numFmtId="166" fontId="9" fillId="0" borderId="0" xfId="0" applyNumberFormat="1" applyFont="1"/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0" fillId="0" borderId="13" xfId="0" applyBorder="1"/>
    <xf numFmtId="14" fontId="0" fillId="0" borderId="15" xfId="0" applyNumberFormat="1" applyBorder="1"/>
    <xf numFmtId="164" fontId="0" fillId="0" borderId="11" xfId="0" applyNumberFormat="1" applyBorder="1"/>
    <xf numFmtId="14" fontId="0" fillId="0" borderId="8" xfId="0" applyNumberFormat="1" applyBorder="1"/>
    <xf numFmtId="0" fontId="0" fillId="0" borderId="17" xfId="0" applyBorder="1"/>
    <xf numFmtId="0" fontId="0" fillId="0" borderId="9" xfId="0" applyBorder="1"/>
    <xf numFmtId="14" fontId="0" fillId="0" borderId="9" xfId="0" applyNumberFormat="1" applyBorder="1"/>
    <xf numFmtId="164" fontId="0" fillId="0" borderId="18" xfId="0" applyNumberFormat="1" applyBorder="1"/>
    <xf numFmtId="167" fontId="0" fillId="0" borderId="8" xfId="0" applyNumberFormat="1" applyBorder="1"/>
    <xf numFmtId="0" fontId="11" fillId="9" borderId="8" xfId="0" applyFont="1" applyFill="1" applyBorder="1"/>
    <xf numFmtId="164" fontId="11" fillId="9" borderId="8" xfId="0" applyNumberFormat="1" applyFont="1" applyFill="1" applyBorder="1"/>
    <xf numFmtId="0" fontId="11" fillId="0" borderId="8" xfId="0" applyFont="1" applyBorder="1"/>
    <xf numFmtId="14" fontId="11" fillId="0" borderId="8" xfId="0" applyNumberFormat="1" applyFont="1" applyBorder="1"/>
    <xf numFmtId="164" fontId="11" fillId="0" borderId="8" xfId="0" applyNumberFormat="1" applyFont="1" applyBorder="1"/>
    <xf numFmtId="14" fontId="11" fillId="9" borderId="8" xfId="0" applyNumberFormat="1" applyFont="1" applyFill="1" applyBorder="1"/>
    <xf numFmtId="0" fontId="10" fillId="8" borderId="10" xfId="0" applyFont="1" applyFill="1" applyBorder="1" applyAlignment="1">
      <alignment horizontal="center"/>
    </xf>
    <xf numFmtId="0" fontId="10" fillId="8" borderId="9" xfId="0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168" fontId="0" fillId="0" borderId="0" xfId="0" applyNumberFormat="1"/>
    <xf numFmtId="0" fontId="13" fillId="3" borderId="5" xfId="0" applyFont="1" applyFill="1" applyBorder="1"/>
    <xf numFmtId="164" fontId="0" fillId="5" borderId="4" xfId="0" applyNumberFormat="1" applyFill="1" applyBorder="1"/>
    <xf numFmtId="164" fontId="0" fillId="4" borderId="4" xfId="0" applyNumberFormat="1" applyFill="1" applyBorder="1"/>
    <xf numFmtId="164" fontId="0" fillId="5" borderId="2" xfId="0" applyNumberFormat="1" applyFill="1" applyBorder="1"/>
    <xf numFmtId="43" fontId="0" fillId="0" borderId="0" xfId="1" applyFont="1"/>
    <xf numFmtId="0" fontId="1" fillId="2" borderId="10" xfId="0" applyFont="1" applyFill="1" applyBorder="1" applyAlignment="1">
      <alignment horizontal="center"/>
    </xf>
    <xf numFmtId="164" fontId="13" fillId="0" borderId="8" xfId="0" applyNumberFormat="1" applyFont="1" applyBorder="1"/>
    <xf numFmtId="3" fontId="13" fillId="3" borderId="8" xfId="0" applyNumberFormat="1" applyFont="1" applyFill="1" applyBorder="1"/>
    <xf numFmtId="0" fontId="13" fillId="0" borderId="0" xfId="0" applyFont="1"/>
    <xf numFmtId="0" fontId="0" fillId="0" borderId="19" xfId="0" applyBorder="1"/>
    <xf numFmtId="167" fontId="0" fillId="0" borderId="9" xfId="0" applyNumberFormat="1" applyBorder="1"/>
    <xf numFmtId="0" fontId="9" fillId="0" borderId="8" xfId="0" applyFont="1" applyBorder="1"/>
    <xf numFmtId="0" fontId="11" fillId="0" borderId="10" xfId="0" applyFont="1" applyBorder="1"/>
    <xf numFmtId="0" fontId="0" fillId="0" borderId="8" xfId="0" applyBorder="1" applyAlignment="1">
      <alignment horizontal="center" wrapText="1"/>
    </xf>
    <xf numFmtId="3" fontId="0" fillId="3" borderId="8" xfId="0" applyNumberForma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8" fontId="0" fillId="0" borderId="0" xfId="0" applyNumberFormat="1"/>
    <xf numFmtId="164" fontId="13" fillId="4" borderId="11" xfId="0" applyNumberFormat="1" applyFont="1" applyFill="1" applyBorder="1"/>
    <xf numFmtId="0" fontId="0" fillId="0" borderId="0" xfId="0" applyFill="1" applyBorder="1"/>
  </cellXfs>
  <cellStyles count="2">
    <cellStyle name="Comma" xfId="1" builtinId="3"/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.00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4" formatCode="&quot;₹&quot;\ #,##0.00"/>
      <fill>
        <patternFill patternType="none">
          <fgColor indexed="64"/>
          <bgColor indexed="65"/>
        </patternFill>
      </fill>
    </dxf>
    <dxf>
      <numFmt numFmtId="164" formatCode="&quot;₹&quot;\ 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3CFD41-8EE0-FA4D-8742-993557FFE80D}" name="Table1" displayName="Table1" ref="A114:F134" totalsRowCount="1" headerRowDxfId="16" dataDxfId="14" headerRowBorderDxfId="15" tableBorderDxfId="13" totalsRowBorderDxfId="12">
  <autoFilter ref="A114:F133" xr:uid="{9F3CFD41-8EE0-FA4D-8742-993557FFE80D}"/>
  <tableColumns count="6">
    <tableColumn id="1" xr3:uid="{2A8905A8-71FE-004F-A08A-194168E78A4D}" name="Publisher" dataDxfId="11" totalsRowDxfId="5"/>
    <tableColumn id="2" xr3:uid="{9470E446-0C4C-EB4C-82E1-A3E398B0DDBF}" name="Genre" dataDxfId="10" totalsRowDxfId="4"/>
    <tableColumn id="6" xr3:uid="{9684D4EA-1B8B-774D-AE77-53149339C9D9}" name="Date" dataDxfId="9" totalsRowDxfId="3"/>
    <tableColumn id="4" xr3:uid="{7F2F04B1-6D73-3143-82F5-CF118C31AF15}" name="Qty" dataDxfId="8" totalsRowDxfId="2"/>
    <tableColumn id="5" xr3:uid="{70F4CC42-EE3C-404E-9C78-DF68B06F3FCF}" name="Unit Sales" totalsRowFunction="custom" dataDxfId="7" totalsRowDxfId="0">
      <totalsRowFormula>SUBTOTAL(9,E131:E133)</totalsRowFormula>
    </tableColumn>
    <tableColumn id="3" xr3:uid="{D09C0EEA-75E0-C846-BB05-19F537445718}" name="Column1" dataDxfId="6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75CC4-16F1-4022-ADC9-FDEEEB502938}">
  <dimension ref="A1:L67"/>
  <sheetViews>
    <sheetView tabSelected="1" topLeftCell="A47" zoomScale="171" workbookViewId="0">
      <selection activeCell="B66" sqref="B66"/>
    </sheetView>
  </sheetViews>
  <sheetFormatPr baseColWidth="10" defaultColWidth="8.83203125" defaultRowHeight="15" x14ac:dyDescent="0.2"/>
  <cols>
    <col min="1" max="3" width="18.83203125" customWidth="1"/>
    <col min="4" max="4" width="23.6640625" customWidth="1"/>
    <col min="5" max="12" width="18.83203125" customWidth="1"/>
  </cols>
  <sheetData>
    <row r="1" spans="1:7" s="20" customFormat="1" x14ac:dyDescent="0.2">
      <c r="A1" s="20" t="s">
        <v>49</v>
      </c>
    </row>
    <row r="3" spans="1:7" x14ac:dyDescent="0.2">
      <c r="A3" s="8" t="s">
        <v>8</v>
      </c>
      <c r="B3" s="10" t="s">
        <v>9</v>
      </c>
      <c r="C3" s="9" t="s">
        <v>10</v>
      </c>
    </row>
    <row r="4" spans="1:7" x14ac:dyDescent="0.2">
      <c r="A4" s="5" t="s">
        <v>21</v>
      </c>
      <c r="B4" s="12" t="s">
        <v>22</v>
      </c>
      <c r="C4" s="6">
        <v>60000</v>
      </c>
    </row>
    <row r="5" spans="1:7" x14ac:dyDescent="0.2">
      <c r="A5" s="3" t="s">
        <v>13</v>
      </c>
      <c r="B5" s="70" t="s">
        <v>14</v>
      </c>
      <c r="C5" s="4">
        <v>75000</v>
      </c>
    </row>
    <row r="6" spans="1:7" x14ac:dyDescent="0.2">
      <c r="A6" s="5" t="s">
        <v>15</v>
      </c>
      <c r="B6" s="12" t="s">
        <v>23</v>
      </c>
      <c r="C6" s="6">
        <v>70000</v>
      </c>
    </row>
    <row r="7" spans="1:7" x14ac:dyDescent="0.2">
      <c r="A7" s="2" t="s">
        <v>17</v>
      </c>
      <c r="B7" s="13" t="s">
        <v>18</v>
      </c>
      <c r="C7" s="7">
        <v>150000</v>
      </c>
    </row>
    <row r="8" spans="1:7" x14ac:dyDescent="0.2">
      <c r="A8" t="s">
        <v>19</v>
      </c>
      <c r="B8" t="s">
        <v>20</v>
      </c>
      <c r="C8" s="88">
        <v>90000</v>
      </c>
    </row>
    <row r="11" spans="1:7" s="20" customFormat="1" x14ac:dyDescent="0.2">
      <c r="A11" s="20" t="s">
        <v>55</v>
      </c>
    </row>
    <row r="13" spans="1:7" x14ac:dyDescent="0.2">
      <c r="A13" s="8" t="s">
        <v>8</v>
      </c>
      <c r="B13" s="10" t="s">
        <v>9</v>
      </c>
      <c r="C13" s="9" t="s">
        <v>24</v>
      </c>
      <c r="D13" s="9" t="s">
        <v>30</v>
      </c>
      <c r="E13" s="19" t="s">
        <v>142</v>
      </c>
      <c r="F13" s="19" t="s">
        <v>143</v>
      </c>
      <c r="G13" s="19" t="s">
        <v>144</v>
      </c>
    </row>
    <row r="14" spans="1:7" x14ac:dyDescent="0.2">
      <c r="A14" s="3" t="s">
        <v>11</v>
      </c>
      <c r="B14" s="11" t="s">
        <v>12</v>
      </c>
      <c r="C14" s="71" t="s">
        <v>25</v>
      </c>
      <c r="D14" s="4"/>
    </row>
    <row r="15" spans="1:7" x14ac:dyDescent="0.2">
      <c r="A15" s="5" t="s">
        <v>13</v>
      </c>
      <c r="B15" s="12" t="s">
        <v>14</v>
      </c>
      <c r="C15" s="72" t="s">
        <v>26</v>
      </c>
      <c r="D15" s="4"/>
    </row>
    <row r="16" spans="1:7" x14ac:dyDescent="0.2">
      <c r="A16" s="3" t="s">
        <v>15</v>
      </c>
      <c r="B16" s="11" t="s">
        <v>16</v>
      </c>
      <c r="C16" s="71" t="s">
        <v>27</v>
      </c>
      <c r="D16" s="4"/>
    </row>
    <row r="17" spans="1:6" x14ac:dyDescent="0.2">
      <c r="A17" s="5" t="s">
        <v>17</v>
      </c>
      <c r="B17" s="12" t="s">
        <v>18</v>
      </c>
      <c r="C17" s="72" t="s">
        <v>28</v>
      </c>
      <c r="D17" s="4"/>
    </row>
    <row r="18" spans="1:6" x14ac:dyDescent="0.2">
      <c r="A18" s="2" t="s">
        <v>19</v>
      </c>
      <c r="B18" s="13" t="s">
        <v>20</v>
      </c>
      <c r="C18" s="73" t="s">
        <v>29</v>
      </c>
      <c r="D18" s="4"/>
    </row>
    <row r="20" spans="1:6" s="20" customFormat="1" x14ac:dyDescent="0.2">
      <c r="A20" s="20" t="s">
        <v>50</v>
      </c>
    </row>
    <row r="21" spans="1:6" s="20" customFormat="1" x14ac:dyDescent="0.2">
      <c r="A21" s="20" t="s">
        <v>54</v>
      </c>
    </row>
    <row r="23" spans="1:6" x14ac:dyDescent="0.2">
      <c r="A23" s="8" t="s">
        <v>8</v>
      </c>
      <c r="B23" s="10" t="s">
        <v>9</v>
      </c>
      <c r="C23" s="10" t="s">
        <v>36</v>
      </c>
      <c r="D23" s="19" t="s">
        <v>51</v>
      </c>
      <c r="E23" s="19" t="s">
        <v>52</v>
      </c>
      <c r="F23" s="19" t="s">
        <v>53</v>
      </c>
    </row>
    <row r="24" spans="1:6" x14ac:dyDescent="0.2">
      <c r="A24" s="3" t="s">
        <v>11</v>
      </c>
      <c r="B24" s="11" t="s">
        <v>12</v>
      </c>
      <c r="C24" s="11"/>
    </row>
    <row r="25" spans="1:6" x14ac:dyDescent="0.2">
      <c r="A25" s="5" t="s">
        <v>34</v>
      </c>
      <c r="B25" s="12" t="s">
        <v>31</v>
      </c>
      <c r="C25" s="11"/>
    </row>
    <row r="26" spans="1:6" x14ac:dyDescent="0.2">
      <c r="A26" s="3" t="s">
        <v>33</v>
      </c>
      <c r="B26" s="11" t="s">
        <v>16</v>
      </c>
      <c r="C26" s="11"/>
    </row>
    <row r="27" spans="1:6" x14ac:dyDescent="0.2">
      <c r="A27" s="5" t="s">
        <v>17</v>
      </c>
      <c r="B27" s="12" t="s">
        <v>32</v>
      </c>
      <c r="C27" s="11"/>
    </row>
    <row r="28" spans="1:6" x14ac:dyDescent="0.2">
      <c r="A28" s="2" t="s">
        <v>35</v>
      </c>
      <c r="B28" s="13" t="s">
        <v>20</v>
      </c>
      <c r="C28" s="11"/>
    </row>
    <row r="31" spans="1:6" s="20" customFormat="1" x14ac:dyDescent="0.2">
      <c r="A31" s="20" t="s">
        <v>145</v>
      </c>
    </row>
    <row r="33" spans="1:4" x14ac:dyDescent="0.2">
      <c r="A33" s="8" t="s">
        <v>8</v>
      </c>
      <c r="B33" s="10" t="s">
        <v>9</v>
      </c>
      <c r="C33" s="9" t="s">
        <v>10</v>
      </c>
    </row>
    <row r="34" spans="1:4" x14ac:dyDescent="0.2">
      <c r="A34" s="3" t="s">
        <v>11</v>
      </c>
      <c r="B34" s="11" t="s">
        <v>12</v>
      </c>
      <c r="C34" s="4">
        <v>60000</v>
      </c>
    </row>
    <row r="35" spans="1:4" x14ac:dyDescent="0.2">
      <c r="A35" s="5" t="s">
        <v>13</v>
      </c>
      <c r="B35" s="12" t="s">
        <v>14</v>
      </c>
      <c r="C35" s="6">
        <v>75000</v>
      </c>
    </row>
    <row r="36" spans="1:4" x14ac:dyDescent="0.2">
      <c r="A36" s="3" t="s">
        <v>15</v>
      </c>
      <c r="B36" s="11" t="s">
        <v>16</v>
      </c>
      <c r="C36" s="15" t="s">
        <v>37</v>
      </c>
      <c r="D36" s="74"/>
    </row>
    <row r="37" spans="1:4" x14ac:dyDescent="0.2">
      <c r="A37" s="5" t="s">
        <v>17</v>
      </c>
      <c r="B37" s="12" t="s">
        <v>18</v>
      </c>
      <c r="C37" s="12" t="s">
        <v>38</v>
      </c>
      <c r="D37" s="69"/>
    </row>
    <row r="38" spans="1:4" x14ac:dyDescent="0.2">
      <c r="A38" s="2" t="s">
        <v>19</v>
      </c>
      <c r="B38" s="13" t="s">
        <v>20</v>
      </c>
      <c r="C38" s="7">
        <v>90000</v>
      </c>
    </row>
    <row r="40" spans="1:4" s="20" customFormat="1" x14ac:dyDescent="0.2">
      <c r="A40" s="20" t="s">
        <v>56</v>
      </c>
    </row>
    <row r="42" spans="1:4" x14ac:dyDescent="0.2">
      <c r="A42" s="16" t="s">
        <v>39</v>
      </c>
      <c r="D42" t="s">
        <v>149</v>
      </c>
    </row>
    <row r="43" spans="1:4" x14ac:dyDescent="0.2">
      <c r="A43" t="str">
        <f>REPLACE(A42,SEARCH("Sa*e",A42,6),6,"very common")</f>
        <v>This is a very common sentence</v>
      </c>
      <c r="D43" t="s">
        <v>150</v>
      </c>
    </row>
    <row r="45" spans="1:4" s="20" customFormat="1" x14ac:dyDescent="0.2">
      <c r="A45" s="20" t="s">
        <v>57</v>
      </c>
    </row>
    <row r="47" spans="1:4" x14ac:dyDescent="0.2">
      <c r="A47" s="8" t="s">
        <v>40</v>
      </c>
      <c r="C47" s="8" t="s">
        <v>8</v>
      </c>
      <c r="D47" s="10" t="s">
        <v>9</v>
      </c>
    </row>
    <row r="48" spans="1:4" x14ac:dyDescent="0.2">
      <c r="A48" t="s">
        <v>41</v>
      </c>
      <c r="C48" s="3" t="s">
        <v>11</v>
      </c>
      <c r="D48" s="11" t="s">
        <v>12</v>
      </c>
    </row>
    <row r="49" spans="1:12" x14ac:dyDescent="0.2">
      <c r="A49" t="s">
        <v>42</v>
      </c>
      <c r="C49" s="5" t="s">
        <v>13</v>
      </c>
      <c r="D49" s="12" t="s">
        <v>14</v>
      </c>
    </row>
    <row r="50" spans="1:12" x14ac:dyDescent="0.2">
      <c r="A50" t="s">
        <v>43</v>
      </c>
      <c r="C50" s="3" t="s">
        <v>15</v>
      </c>
      <c r="D50" s="11" t="s">
        <v>16</v>
      </c>
    </row>
    <row r="51" spans="1:12" x14ac:dyDescent="0.2">
      <c r="A51" t="s">
        <v>44</v>
      </c>
      <c r="C51" s="5" t="s">
        <v>17</v>
      </c>
      <c r="D51" s="12" t="s">
        <v>18</v>
      </c>
    </row>
    <row r="52" spans="1:12" x14ac:dyDescent="0.2">
      <c r="A52" t="s">
        <v>45</v>
      </c>
      <c r="C52" s="2" t="s">
        <v>19</v>
      </c>
      <c r="D52" s="13" t="s">
        <v>20</v>
      </c>
    </row>
    <row r="53" spans="1:12" x14ac:dyDescent="0.2">
      <c r="C53" s="17" t="s">
        <v>46</v>
      </c>
      <c r="D53" s="18" t="s">
        <v>47</v>
      </c>
    </row>
    <row r="54" spans="1:12" x14ac:dyDescent="0.2">
      <c r="D54" s="18"/>
    </row>
    <row r="55" spans="1:12" s="20" customFormat="1" x14ac:dyDescent="0.2">
      <c r="A55" s="20" t="s">
        <v>58</v>
      </c>
      <c r="D55" s="21"/>
    </row>
    <row r="56" spans="1:12" x14ac:dyDescent="0.2">
      <c r="D56" s="18"/>
    </row>
    <row r="58" spans="1:12" x14ac:dyDescent="0.2">
      <c r="A58" t="s">
        <v>48</v>
      </c>
    </row>
    <row r="60" spans="1:12" x14ac:dyDescent="0.2">
      <c r="A60" t="str" cm="1">
        <f t="array" ref="A60:L61">_xlfn.TEXTSPLIT(A58,",",";")</f>
        <v>Jan</v>
      </c>
      <c r="B60" t="str">
        <v>Feb</v>
      </c>
      <c r="C60" t="str">
        <v>Mar</v>
      </c>
      <c r="D60" t="str">
        <v>Apr</v>
      </c>
      <c r="E60" t="str">
        <v>May</v>
      </c>
      <c r="F60" t="str">
        <v>Jun</v>
      </c>
      <c r="G60" t="str">
        <v>Jul</v>
      </c>
      <c r="H60" t="str">
        <v>Aug</v>
      </c>
      <c r="I60" t="str">
        <v>Sep</v>
      </c>
      <c r="J60" t="str">
        <v>Oct</v>
      </c>
      <c r="K60" t="str">
        <v>Nov</v>
      </c>
      <c r="L60" t="str">
        <v>Dec</v>
      </c>
    </row>
    <row r="61" spans="1:12" x14ac:dyDescent="0.2">
      <c r="A61" t="str">
        <v>1000</v>
      </c>
      <c r="B61" t="str">
        <v>2000</v>
      </c>
      <c r="C61" t="str">
        <v>3000</v>
      </c>
      <c r="D61" t="str">
        <v>4000</v>
      </c>
      <c r="E61" t="str">
        <v>5000</v>
      </c>
      <c r="F61" t="str">
        <v>6000</v>
      </c>
      <c r="G61" t="str">
        <v>7000</v>
      </c>
      <c r="H61" t="str">
        <v>8000</v>
      </c>
      <c r="I61" t="str">
        <v>9000</v>
      </c>
      <c r="J61" t="str">
        <v>10000</v>
      </c>
      <c r="K61" t="str">
        <v>11000</v>
      </c>
      <c r="L61" t="str">
        <v>12000</v>
      </c>
    </row>
    <row r="66" spans="1:1" s="20" customFormat="1" x14ac:dyDescent="0.2">
      <c r="A66" s="20" t="s">
        <v>59</v>
      </c>
    </row>
    <row r="67" spans="1:1" x14ac:dyDescent="0.2">
      <c r="A67" t="str">
        <f>_xlfn.ARRAYTOTEXT(_xlfn.ANCHORARRAY(A60))</f>
        <v>Jan, Feb, Mar, Apr, May, Jun, Jul, Aug, Sep, Oct, Nov, Dec, 1000, 2000, 3000, 4000, 5000, 6000, 7000, 8000, 9000, 10000, 11000, 12000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478BA-A321-4B46-94A0-366A151A59F9}">
  <dimension ref="A1:J171"/>
  <sheetViews>
    <sheetView topLeftCell="A143" zoomScale="150" workbookViewId="0">
      <selection activeCell="G150" sqref="G150"/>
    </sheetView>
  </sheetViews>
  <sheetFormatPr baseColWidth="10" defaultColWidth="8.83203125" defaultRowHeight="15" x14ac:dyDescent="0.2"/>
  <cols>
    <col min="1" max="7" width="21.83203125" customWidth="1"/>
    <col min="8" max="8" width="14" customWidth="1"/>
    <col min="9" max="9" width="19.5" customWidth="1"/>
    <col min="10" max="10" width="13.5" customWidth="1"/>
    <col min="12" max="12" width="19.1640625" bestFit="1" customWidth="1"/>
    <col min="13" max="13" width="13.1640625" customWidth="1"/>
  </cols>
  <sheetData>
    <row r="1" spans="1:6" s="20" customFormat="1" x14ac:dyDescent="0.2">
      <c r="A1" s="20" t="s">
        <v>92</v>
      </c>
    </row>
    <row r="3" spans="1:6" x14ac:dyDescent="0.2">
      <c r="A3" s="26" t="s">
        <v>1</v>
      </c>
      <c r="B3" s="26" t="s">
        <v>2</v>
      </c>
      <c r="E3" s="26" t="s">
        <v>1</v>
      </c>
    </row>
    <row r="4" spans="1:6" x14ac:dyDescent="0.2">
      <c r="A4" s="25" t="s">
        <v>3</v>
      </c>
      <c r="B4" s="24">
        <v>116537</v>
      </c>
      <c r="E4" s="23" t="s">
        <v>5</v>
      </c>
      <c r="F4">
        <f>SUMIF(A4:A9,E4,B4:B9)</f>
        <v>250020</v>
      </c>
    </row>
    <row r="5" spans="1:6" x14ac:dyDescent="0.2">
      <c r="A5" s="23" t="s">
        <v>4</v>
      </c>
      <c r="B5" s="22">
        <v>182255</v>
      </c>
      <c r="E5" s="1"/>
    </row>
    <row r="6" spans="1:6" x14ac:dyDescent="0.2">
      <c r="A6" s="25" t="s">
        <v>5</v>
      </c>
      <c r="B6" s="22">
        <v>125010</v>
      </c>
      <c r="E6" s="1"/>
      <c r="F6" s="69"/>
    </row>
    <row r="7" spans="1:6" x14ac:dyDescent="0.2">
      <c r="A7" s="23" t="s">
        <v>6</v>
      </c>
      <c r="B7" s="22">
        <v>153981</v>
      </c>
      <c r="E7" s="1"/>
    </row>
    <row r="8" spans="1:6" x14ac:dyDescent="0.2">
      <c r="A8" s="25" t="s">
        <v>7</v>
      </c>
      <c r="B8" s="24">
        <v>126309</v>
      </c>
    </row>
    <row r="9" spans="1:6" x14ac:dyDescent="0.2">
      <c r="A9" s="23" t="s">
        <v>5</v>
      </c>
      <c r="B9" s="22">
        <v>125010</v>
      </c>
    </row>
    <row r="10" spans="1:6" x14ac:dyDescent="0.2">
      <c r="A10" s="32" t="s">
        <v>91</v>
      </c>
      <c r="B10" s="33">
        <f>SUM(B4:B9)</f>
        <v>829102</v>
      </c>
    </row>
    <row r="14" spans="1:6" x14ac:dyDescent="0.2">
      <c r="A14" s="26" t="s">
        <v>1</v>
      </c>
      <c r="B14" s="26" t="s">
        <v>2</v>
      </c>
    </row>
    <row r="15" spans="1:6" x14ac:dyDescent="0.2">
      <c r="A15" s="25" t="s">
        <v>3</v>
      </c>
      <c r="B15" s="24">
        <v>1</v>
      </c>
    </row>
    <row r="16" spans="1:6" x14ac:dyDescent="0.2">
      <c r="A16" s="23" t="s">
        <v>4</v>
      </c>
      <c r="B16" s="22">
        <v>2</v>
      </c>
    </row>
    <row r="17" spans="1:6" x14ac:dyDescent="0.2">
      <c r="A17" s="25" t="s">
        <v>5</v>
      </c>
      <c r="B17" s="24">
        <v>3</v>
      </c>
      <c r="D17" s="1"/>
    </row>
    <row r="18" spans="1:6" x14ac:dyDescent="0.2">
      <c r="A18" s="23" t="s">
        <v>6</v>
      </c>
      <c r="B18" s="22">
        <v>4</v>
      </c>
      <c r="D18" s="1"/>
    </row>
    <row r="19" spans="1:6" x14ac:dyDescent="0.2">
      <c r="A19" s="25" t="s">
        <v>7</v>
      </c>
      <c r="B19" s="24">
        <v>5</v>
      </c>
    </row>
    <row r="21" spans="1:6" s="20" customFormat="1" x14ac:dyDescent="0.2">
      <c r="A21" s="20" t="s">
        <v>93</v>
      </c>
    </row>
    <row r="23" spans="1:6" x14ac:dyDescent="0.2">
      <c r="A23" s="26" t="s">
        <v>83</v>
      </c>
      <c r="B23" s="26" t="s">
        <v>80</v>
      </c>
      <c r="D23" s="26" t="s">
        <v>83</v>
      </c>
      <c r="E23" s="26" t="s">
        <v>80</v>
      </c>
    </row>
    <row r="24" spans="1:6" x14ac:dyDescent="0.2">
      <c r="A24" s="25" t="s">
        <v>81</v>
      </c>
      <c r="B24" s="27">
        <v>23</v>
      </c>
      <c r="D24" s="25" t="s">
        <v>81</v>
      </c>
      <c r="E24" s="34">
        <f>SUMIF($A$24:$A$29,"*"&amp;D24&amp;"*",$B$24:$B$29)</f>
        <v>31</v>
      </c>
      <c r="F24">
        <f>SUMIF($A$24:$A$29,"*" &amp; D24 &amp; "*",$B$24:$B$29)</f>
        <v>31</v>
      </c>
    </row>
    <row r="25" spans="1:6" ht="15" customHeight="1" x14ac:dyDescent="0.2">
      <c r="A25" s="23" t="s">
        <v>78</v>
      </c>
      <c r="B25" s="28">
        <v>2</v>
      </c>
      <c r="D25" s="25" t="s">
        <v>77</v>
      </c>
      <c r="E25" s="34">
        <f t="shared" ref="E25:E27" si="0">SUMIF($A$24:$A$29,"*"&amp;D25&amp;"*",$B$24:$B$29)</f>
        <v>57</v>
      </c>
      <c r="F25">
        <f t="shared" ref="F25:F27" si="1">SUMIF($A$24:$A$29,"*" &amp; D25 &amp; "*",$B$24:$B$29)</f>
        <v>57</v>
      </c>
    </row>
    <row r="26" spans="1:6" x14ac:dyDescent="0.2">
      <c r="A26" s="25" t="s">
        <v>74</v>
      </c>
      <c r="B26" s="27">
        <v>5</v>
      </c>
      <c r="D26" s="25" t="s">
        <v>67</v>
      </c>
      <c r="E26" s="34">
        <f t="shared" si="0"/>
        <v>95</v>
      </c>
      <c r="F26">
        <f t="shared" si="1"/>
        <v>95</v>
      </c>
    </row>
    <row r="27" spans="1:6" x14ac:dyDescent="0.2">
      <c r="A27" s="23" t="s">
        <v>71</v>
      </c>
      <c r="B27" s="28">
        <v>50</v>
      </c>
      <c r="D27" s="25" t="s">
        <v>70</v>
      </c>
      <c r="E27" s="34">
        <f t="shared" si="0"/>
        <v>61</v>
      </c>
      <c r="F27">
        <f t="shared" si="1"/>
        <v>61</v>
      </c>
    </row>
    <row r="28" spans="1:6" x14ac:dyDescent="0.2">
      <c r="A28" s="25" t="s">
        <v>68</v>
      </c>
      <c r="B28" s="27">
        <v>6</v>
      </c>
    </row>
    <row r="29" spans="1:6" x14ac:dyDescent="0.2">
      <c r="A29" s="23" t="s">
        <v>67</v>
      </c>
      <c r="B29" s="28">
        <v>45</v>
      </c>
    </row>
    <row r="32" spans="1:6" s="20" customFormat="1" x14ac:dyDescent="0.2">
      <c r="A32" s="20" t="s">
        <v>94</v>
      </c>
    </row>
    <row r="34" spans="1:8" x14ac:dyDescent="0.2">
      <c r="A34" s="26" t="s">
        <v>1</v>
      </c>
      <c r="B34" s="26" t="s">
        <v>65</v>
      </c>
      <c r="C34" s="26" t="s">
        <v>2</v>
      </c>
      <c r="E34" s="26" t="s">
        <v>1</v>
      </c>
      <c r="F34" s="75" t="s">
        <v>65</v>
      </c>
      <c r="G34" s="26" t="s">
        <v>2</v>
      </c>
    </row>
    <row r="35" spans="1:8" x14ac:dyDescent="0.2">
      <c r="A35" s="25" t="s">
        <v>3</v>
      </c>
      <c r="B35" s="24" t="s">
        <v>63</v>
      </c>
      <c r="C35" s="24">
        <v>116537</v>
      </c>
      <c r="E35" s="23" t="s">
        <v>5</v>
      </c>
      <c r="F35" s="23" t="s">
        <v>63</v>
      </c>
      <c r="G35" s="31"/>
    </row>
    <row r="36" spans="1:8" x14ac:dyDescent="0.2">
      <c r="A36" s="23" t="s">
        <v>4</v>
      </c>
      <c r="B36" s="22" t="s">
        <v>64</v>
      </c>
      <c r="C36" s="22">
        <v>182255</v>
      </c>
    </row>
    <row r="37" spans="1:8" x14ac:dyDescent="0.2">
      <c r="A37" s="25" t="s">
        <v>5</v>
      </c>
      <c r="B37" s="24" t="s">
        <v>63</v>
      </c>
      <c r="C37" s="24">
        <v>125010</v>
      </c>
    </row>
    <row r="38" spans="1:8" x14ac:dyDescent="0.2">
      <c r="A38" s="23" t="s">
        <v>5</v>
      </c>
      <c r="B38" s="22" t="s">
        <v>60</v>
      </c>
      <c r="C38" s="76">
        <v>225010</v>
      </c>
    </row>
    <row r="39" spans="1:8" x14ac:dyDescent="0.2">
      <c r="A39" s="23" t="s">
        <v>6</v>
      </c>
      <c r="B39" s="22" t="s">
        <v>62</v>
      </c>
      <c r="C39" s="22">
        <v>153981</v>
      </c>
    </row>
    <row r="40" spans="1:8" x14ac:dyDescent="0.2">
      <c r="A40" s="25" t="s">
        <v>7</v>
      </c>
      <c r="B40" s="24" t="s">
        <v>61</v>
      </c>
      <c r="C40" s="24">
        <v>126309</v>
      </c>
    </row>
    <row r="41" spans="1:8" x14ac:dyDescent="0.2">
      <c r="A41" s="23" t="s">
        <v>5</v>
      </c>
      <c r="B41" s="22" t="s">
        <v>60</v>
      </c>
      <c r="C41" s="22">
        <v>125010</v>
      </c>
    </row>
    <row r="43" spans="1:8" s="20" customFormat="1" x14ac:dyDescent="0.2">
      <c r="A43" s="20" t="s">
        <v>151</v>
      </c>
      <c r="D43" s="20" t="s">
        <v>101</v>
      </c>
      <c r="F43" s="20" t="s">
        <v>102</v>
      </c>
    </row>
    <row r="45" spans="1:8" x14ac:dyDescent="0.2">
      <c r="A45" s="20"/>
      <c r="B45" s="20"/>
      <c r="C45" s="20"/>
      <c r="D45" s="20"/>
      <c r="E45" s="20"/>
      <c r="F45" s="20"/>
      <c r="G45" s="20"/>
      <c r="H45" s="20"/>
    </row>
    <row r="46" spans="1:8" x14ac:dyDescent="0.2">
      <c r="B46" s="26" t="s">
        <v>85</v>
      </c>
      <c r="E46" s="26" t="s">
        <v>84</v>
      </c>
    </row>
    <row r="47" spans="1:8" x14ac:dyDescent="0.2">
      <c r="A47" s="26" t="s">
        <v>83</v>
      </c>
      <c r="B47" s="27"/>
      <c r="D47" s="26" t="s">
        <v>2</v>
      </c>
      <c r="E47" s="30"/>
      <c r="F47" s="26" t="s">
        <v>82</v>
      </c>
      <c r="G47" s="27"/>
    </row>
    <row r="48" spans="1:8" x14ac:dyDescent="0.2">
      <c r="A48" s="26" t="s">
        <v>80</v>
      </c>
      <c r="B48" s="27"/>
      <c r="D48" s="26" t="s">
        <v>5</v>
      </c>
      <c r="E48" s="27"/>
      <c r="F48" s="26" t="s">
        <v>79</v>
      </c>
      <c r="G48" s="27"/>
    </row>
    <row r="49" spans="1:7" x14ac:dyDescent="0.2">
      <c r="A49" s="26" t="s">
        <v>5</v>
      </c>
      <c r="B49" s="27"/>
      <c r="D49" s="26" t="s">
        <v>76</v>
      </c>
      <c r="E49" s="27"/>
      <c r="F49" s="26" t="s">
        <v>75</v>
      </c>
      <c r="G49" s="77"/>
    </row>
    <row r="50" spans="1:7" x14ac:dyDescent="0.2">
      <c r="A50" s="19" t="s">
        <v>73</v>
      </c>
      <c r="B50" s="29"/>
      <c r="D50" s="83" t="s">
        <v>69</v>
      </c>
      <c r="E50" s="84"/>
      <c r="F50" s="26" t="s">
        <v>72</v>
      </c>
      <c r="G50" s="27"/>
    </row>
    <row r="51" spans="1:7" x14ac:dyDescent="0.2">
      <c r="A51" s="83" t="s">
        <v>69</v>
      </c>
      <c r="B51" s="84"/>
      <c r="D51" s="83"/>
      <c r="E51" s="84"/>
    </row>
    <row r="52" spans="1:7" x14ac:dyDescent="0.2">
      <c r="A52" s="83"/>
      <c r="B52" s="84"/>
    </row>
    <row r="53" spans="1:7" x14ac:dyDescent="0.2">
      <c r="A53" s="26" t="s">
        <v>66</v>
      </c>
      <c r="B53" s="27"/>
    </row>
    <row r="56" spans="1:7" s="20" customFormat="1" x14ac:dyDescent="0.2">
      <c r="A56" s="20" t="s">
        <v>95</v>
      </c>
    </row>
    <row r="57" spans="1:7" s="20" customFormat="1" x14ac:dyDescent="0.2"/>
    <row r="58" spans="1:7" ht="19" x14ac:dyDescent="0.2">
      <c r="A58" s="35" t="s">
        <v>90</v>
      </c>
      <c r="B58" s="36" t="s">
        <v>96</v>
      </c>
    </row>
    <row r="59" spans="1:7" ht="19" x14ac:dyDescent="0.2">
      <c r="A59" s="35" t="s">
        <v>89</v>
      </c>
      <c r="B59" s="36" t="s">
        <v>97</v>
      </c>
    </row>
    <row r="60" spans="1:7" ht="19" x14ac:dyDescent="0.2">
      <c r="A60" s="35" t="s">
        <v>88</v>
      </c>
      <c r="B60" s="36" t="s">
        <v>98</v>
      </c>
    </row>
    <row r="61" spans="1:7" ht="19" x14ac:dyDescent="0.2">
      <c r="A61" s="35" t="s">
        <v>87</v>
      </c>
      <c r="B61" s="36" t="s">
        <v>99</v>
      </c>
    </row>
    <row r="62" spans="1:7" ht="19" x14ac:dyDescent="0.2">
      <c r="A62" s="35" t="s">
        <v>86</v>
      </c>
      <c r="B62" s="36" t="s">
        <v>100</v>
      </c>
    </row>
    <row r="65" spans="1:6" s="20" customFormat="1" x14ac:dyDescent="0.2">
      <c r="A65" s="20" t="s">
        <v>112</v>
      </c>
    </row>
    <row r="68" spans="1:6" x14ac:dyDescent="0.2">
      <c r="A68" s="26" t="s">
        <v>1</v>
      </c>
      <c r="B68" s="26" t="s">
        <v>2</v>
      </c>
    </row>
    <row r="69" spans="1:6" x14ac:dyDescent="0.2">
      <c r="A69" s="25" t="s">
        <v>3</v>
      </c>
      <c r="B69" s="37">
        <v>139983.38785300025</v>
      </c>
    </row>
    <row r="70" spans="1:6" x14ac:dyDescent="0.2">
      <c r="A70" s="23" t="s">
        <v>4</v>
      </c>
      <c r="B70" s="38">
        <v>147932.61290871128</v>
      </c>
    </row>
    <row r="71" spans="1:6" x14ac:dyDescent="0.2">
      <c r="A71" s="25" t="s">
        <v>5</v>
      </c>
      <c r="B71" s="37">
        <v>125847.06316809564</v>
      </c>
    </row>
    <row r="72" spans="1:6" x14ac:dyDescent="0.2">
      <c r="A72" s="23" t="s">
        <v>6</v>
      </c>
      <c r="B72" s="38">
        <v>123885.67470216015</v>
      </c>
    </row>
    <row r="73" spans="1:6" x14ac:dyDescent="0.2">
      <c r="A73" s="25" t="s">
        <v>7</v>
      </c>
      <c r="B73" s="37">
        <v>147452.49444879233</v>
      </c>
    </row>
    <row r="74" spans="1:6" x14ac:dyDescent="0.2">
      <c r="A74" s="23" t="s">
        <v>5</v>
      </c>
      <c r="B74" s="38">
        <v>105242.33845384738</v>
      </c>
    </row>
    <row r="75" spans="1:6" x14ac:dyDescent="0.2">
      <c r="A75" s="39" t="s">
        <v>105</v>
      </c>
      <c r="B75" s="37">
        <f>SUM(B69:B74)</f>
        <v>790343.57153460698</v>
      </c>
    </row>
    <row r="76" spans="1:6" x14ac:dyDescent="0.2">
      <c r="A76" t="s">
        <v>113</v>
      </c>
      <c r="B76" s="40">
        <f>ROUND(B75,2)</f>
        <v>790343.57</v>
      </c>
    </row>
    <row r="77" spans="1:6" x14ac:dyDescent="0.2">
      <c r="A77" t="s">
        <v>114</v>
      </c>
      <c r="B77" s="40">
        <f>ROUND(B75,0)</f>
        <v>790344</v>
      </c>
    </row>
    <row r="78" spans="1:6" x14ac:dyDescent="0.2">
      <c r="B78" s="40"/>
    </row>
    <row r="79" spans="1:6" x14ac:dyDescent="0.2">
      <c r="B79" s="40"/>
      <c r="D79" s="41"/>
    </row>
    <row r="80" spans="1:6" x14ac:dyDescent="0.2">
      <c r="A80" s="85" t="s">
        <v>106</v>
      </c>
      <c r="B80" s="86"/>
      <c r="C80" s="87"/>
      <c r="E80" t="s">
        <v>116</v>
      </c>
      <c r="F80" s="40">
        <f>ROUNDUP(B74,2)</f>
        <v>105242.34</v>
      </c>
    </row>
    <row r="81" spans="1:6" x14ac:dyDescent="0.2">
      <c r="A81" s="43">
        <v>0</v>
      </c>
      <c r="B81" s="43">
        <v>5</v>
      </c>
      <c r="C81" s="43">
        <v>10</v>
      </c>
    </row>
    <row r="83" spans="1:6" x14ac:dyDescent="0.2">
      <c r="A83" s="44" t="s">
        <v>107</v>
      </c>
      <c r="B83" s="45">
        <v>790343.571</v>
      </c>
    </row>
    <row r="84" spans="1:6" x14ac:dyDescent="0.2">
      <c r="B84" s="45">
        <v>790343.57499999995</v>
      </c>
      <c r="C84" s="18" t="s">
        <v>108</v>
      </c>
      <c r="E84" t="s">
        <v>117</v>
      </c>
      <c r="F84" s="40">
        <f>ROUNDDOWN(B74,6)</f>
        <v>105242.338453</v>
      </c>
    </row>
    <row r="85" spans="1:6" x14ac:dyDescent="0.2">
      <c r="B85" s="45">
        <v>790343.576</v>
      </c>
      <c r="C85" s="18" t="s">
        <v>108</v>
      </c>
    </row>
    <row r="87" spans="1:6" x14ac:dyDescent="0.2">
      <c r="B87" s="42">
        <f>ROUND(B83,2)</f>
        <v>790343.57</v>
      </c>
      <c r="C87" s="42"/>
    </row>
    <row r="88" spans="1:6" x14ac:dyDescent="0.2">
      <c r="B88" s="42">
        <f t="shared" ref="B88:B89" si="2">ROUND(B84,2)</f>
        <v>790343.58</v>
      </c>
      <c r="C88" s="42"/>
    </row>
    <row r="89" spans="1:6" x14ac:dyDescent="0.2">
      <c r="B89" s="42">
        <f t="shared" si="2"/>
        <v>790343.58</v>
      </c>
      <c r="C89" s="42"/>
    </row>
    <row r="90" spans="1:6" x14ac:dyDescent="0.2">
      <c r="B90" s="42"/>
      <c r="C90" s="42"/>
    </row>
    <row r="91" spans="1:6" s="46" customFormat="1" x14ac:dyDescent="0.2">
      <c r="A91" s="46" t="s">
        <v>115</v>
      </c>
      <c r="B91" s="47"/>
      <c r="C91" s="47"/>
    </row>
    <row r="93" spans="1:6" x14ac:dyDescent="0.2">
      <c r="A93" s="43" t="s">
        <v>109</v>
      </c>
      <c r="B93" s="43" t="s">
        <v>110</v>
      </c>
      <c r="C93" s="43" t="s">
        <v>111</v>
      </c>
    </row>
    <row r="94" spans="1:6" x14ac:dyDescent="0.2">
      <c r="A94" s="43">
        <v>-1</v>
      </c>
      <c r="B94" s="43">
        <v>-2</v>
      </c>
      <c r="C94" s="43">
        <v>-3</v>
      </c>
    </row>
    <row r="95" spans="1:6" x14ac:dyDescent="0.2">
      <c r="A95" s="37">
        <v>790343.57153460698</v>
      </c>
      <c r="B95" s="37">
        <v>790343.57153460698</v>
      </c>
      <c r="C95" s="37">
        <v>790343.57153460698</v>
      </c>
    </row>
    <row r="96" spans="1:6" x14ac:dyDescent="0.2">
      <c r="A96" s="40">
        <f>ROUND(A95,-1)</f>
        <v>790340</v>
      </c>
      <c r="B96" s="40">
        <f>ROUND(B95,-2)</f>
        <v>790300</v>
      </c>
      <c r="C96" s="40">
        <f>ROUND(C95,-3)</f>
        <v>790000</v>
      </c>
    </row>
    <row r="99" spans="1:3" s="20" customFormat="1" x14ac:dyDescent="0.2">
      <c r="A99" s="20" t="s">
        <v>118</v>
      </c>
    </row>
    <row r="101" spans="1:3" x14ac:dyDescent="0.2">
      <c r="B101" s="26" t="s">
        <v>103</v>
      </c>
      <c r="C101" s="26" t="s">
        <v>104</v>
      </c>
    </row>
    <row r="102" spans="1:3" x14ac:dyDescent="0.2">
      <c r="A102">
        <v>3.5</v>
      </c>
      <c r="B102">
        <f>EVEN(A102)</f>
        <v>4</v>
      </c>
      <c r="C102">
        <f>ODD(A102)</f>
        <v>5</v>
      </c>
    </row>
    <row r="103" spans="1:3" x14ac:dyDescent="0.2">
      <c r="A103">
        <v>2.5</v>
      </c>
      <c r="B103">
        <f t="shared" ref="B103:B110" si="3">EVEN(A103)</f>
        <v>4</v>
      </c>
      <c r="C103">
        <f t="shared" ref="C103:C110" si="4">ODD(A103)</f>
        <v>3</v>
      </c>
    </row>
    <row r="104" spans="1:3" x14ac:dyDescent="0.2">
      <c r="A104">
        <v>2</v>
      </c>
      <c r="B104">
        <f t="shared" si="3"/>
        <v>2</v>
      </c>
      <c r="C104">
        <f t="shared" si="4"/>
        <v>3</v>
      </c>
    </row>
    <row r="105" spans="1:3" x14ac:dyDescent="0.2">
      <c r="A105">
        <v>1</v>
      </c>
      <c r="B105">
        <f t="shared" si="3"/>
        <v>2</v>
      </c>
      <c r="C105">
        <f t="shared" si="4"/>
        <v>1</v>
      </c>
    </row>
    <row r="106" spans="1:3" x14ac:dyDescent="0.2">
      <c r="A106">
        <v>0</v>
      </c>
      <c r="B106">
        <f t="shared" si="3"/>
        <v>0</v>
      </c>
      <c r="C106">
        <f t="shared" si="4"/>
        <v>1</v>
      </c>
    </row>
    <row r="107" spans="1:3" x14ac:dyDescent="0.2">
      <c r="A107">
        <v>-1</v>
      </c>
      <c r="B107">
        <f t="shared" si="3"/>
        <v>-2</v>
      </c>
      <c r="C107">
        <f t="shared" si="4"/>
        <v>-1</v>
      </c>
    </row>
    <row r="108" spans="1:3" x14ac:dyDescent="0.2">
      <c r="A108">
        <v>-2</v>
      </c>
      <c r="B108">
        <f t="shared" si="3"/>
        <v>-2</v>
      </c>
      <c r="C108">
        <f t="shared" si="4"/>
        <v>-3</v>
      </c>
    </row>
    <row r="109" spans="1:3" x14ac:dyDescent="0.2">
      <c r="A109">
        <v>-2.5</v>
      </c>
      <c r="B109">
        <f t="shared" si="3"/>
        <v>-4</v>
      </c>
      <c r="C109">
        <f t="shared" si="4"/>
        <v>-3</v>
      </c>
    </row>
    <row r="110" spans="1:3" x14ac:dyDescent="0.2">
      <c r="A110">
        <v>-3.5</v>
      </c>
      <c r="B110">
        <f t="shared" si="3"/>
        <v>-4</v>
      </c>
      <c r="C110">
        <f t="shared" si="4"/>
        <v>-5</v>
      </c>
    </row>
    <row r="112" spans="1:3" s="20" customFormat="1" x14ac:dyDescent="0.2">
      <c r="A112" s="20" t="s">
        <v>119</v>
      </c>
    </row>
    <row r="114" spans="1:10" x14ac:dyDescent="0.2">
      <c r="A114" s="48" t="s">
        <v>1</v>
      </c>
      <c r="B114" s="49" t="s">
        <v>65</v>
      </c>
      <c r="C114" s="49" t="s">
        <v>123</v>
      </c>
      <c r="D114" s="49" t="s">
        <v>124</v>
      </c>
      <c r="E114" s="50" t="s">
        <v>125</v>
      </c>
      <c r="F114" s="49" t="s">
        <v>147</v>
      </c>
      <c r="H114" s="26" t="s">
        <v>120</v>
      </c>
      <c r="I114" s="26" t="s">
        <v>121</v>
      </c>
      <c r="J114" s="26" t="s">
        <v>122</v>
      </c>
    </row>
    <row r="115" spans="1:10" x14ac:dyDescent="0.2">
      <c r="A115" s="51" t="s">
        <v>3</v>
      </c>
      <c r="B115" s="23" t="s">
        <v>63</v>
      </c>
      <c r="C115" s="52">
        <v>43841</v>
      </c>
      <c r="D115" s="23">
        <v>14</v>
      </c>
      <c r="E115" s="53">
        <v>120131</v>
      </c>
      <c r="F115" s="1"/>
      <c r="H115" s="23" t="s">
        <v>126</v>
      </c>
      <c r="I115" s="23">
        <v>1</v>
      </c>
      <c r="J115" s="23">
        <v>101</v>
      </c>
    </row>
    <row r="116" spans="1:10" x14ac:dyDescent="0.2">
      <c r="A116" s="51" t="s">
        <v>3</v>
      </c>
      <c r="B116" s="81" t="s">
        <v>64</v>
      </c>
      <c r="C116" s="54">
        <v>44208</v>
      </c>
      <c r="D116" s="23">
        <v>16</v>
      </c>
      <c r="E116" s="53">
        <v>123919</v>
      </c>
      <c r="F116" s="1"/>
      <c r="H116" s="23" t="s">
        <v>127</v>
      </c>
      <c r="I116" s="23">
        <v>2</v>
      </c>
      <c r="J116" s="23">
        <v>102</v>
      </c>
    </row>
    <row r="117" spans="1:10" x14ac:dyDescent="0.2">
      <c r="A117" s="51" t="s">
        <v>3</v>
      </c>
      <c r="B117" s="23" t="s">
        <v>63</v>
      </c>
      <c r="C117" s="54">
        <v>44574</v>
      </c>
      <c r="D117" s="23">
        <v>17</v>
      </c>
      <c r="E117" s="53">
        <v>132522</v>
      </c>
      <c r="F117" s="1"/>
      <c r="H117" s="23" t="s">
        <v>128</v>
      </c>
      <c r="I117" s="23">
        <v>3</v>
      </c>
      <c r="J117" s="23">
        <v>103</v>
      </c>
    </row>
    <row r="118" spans="1:10" x14ac:dyDescent="0.2">
      <c r="A118" s="51"/>
      <c r="B118" s="23"/>
      <c r="C118" s="59"/>
      <c r="D118" s="23"/>
      <c r="E118" s="89">
        <f>SUBTOTAL(9,E115:E117)</f>
        <v>376572</v>
      </c>
      <c r="F118" s="1"/>
      <c r="H118" s="23"/>
      <c r="I118" s="23"/>
      <c r="J118" s="23"/>
    </row>
    <row r="119" spans="1:10" x14ac:dyDescent="0.2">
      <c r="A119" s="51" t="s">
        <v>4</v>
      </c>
      <c r="B119" s="23" t="s">
        <v>62</v>
      </c>
      <c r="C119" s="54">
        <v>43844</v>
      </c>
      <c r="D119" s="23">
        <v>10</v>
      </c>
      <c r="E119" s="53">
        <v>149433</v>
      </c>
      <c r="F119" s="1"/>
      <c r="H119" s="23" t="s">
        <v>129</v>
      </c>
      <c r="I119" s="23">
        <v>4</v>
      </c>
      <c r="J119" s="23">
        <v>104</v>
      </c>
    </row>
    <row r="120" spans="1:10" x14ac:dyDescent="0.2">
      <c r="A120" s="51" t="s">
        <v>4</v>
      </c>
      <c r="B120" s="23" t="s">
        <v>61</v>
      </c>
      <c r="C120" s="54">
        <v>44211</v>
      </c>
      <c r="D120" s="23">
        <v>14</v>
      </c>
      <c r="E120" s="53">
        <v>102671</v>
      </c>
      <c r="F120" s="1"/>
      <c r="H120" s="23" t="s">
        <v>130</v>
      </c>
      <c r="I120" s="23">
        <v>5</v>
      </c>
      <c r="J120" s="23">
        <v>105</v>
      </c>
    </row>
    <row r="121" spans="1:10" x14ac:dyDescent="0.2">
      <c r="A121" s="51" t="s">
        <v>4</v>
      </c>
      <c r="B121" s="23" t="s">
        <v>60</v>
      </c>
      <c r="C121" s="54">
        <v>44577</v>
      </c>
      <c r="D121" s="23">
        <v>18</v>
      </c>
      <c r="E121" s="53">
        <v>119780</v>
      </c>
      <c r="F121" s="1"/>
      <c r="H121" s="23" t="s">
        <v>131</v>
      </c>
      <c r="I121" s="23">
        <v>6</v>
      </c>
      <c r="J121" s="23">
        <v>106</v>
      </c>
    </row>
    <row r="122" spans="1:10" x14ac:dyDescent="0.2">
      <c r="A122" s="51"/>
      <c r="B122" s="23"/>
      <c r="C122" s="59"/>
      <c r="D122" s="23"/>
      <c r="E122" s="89">
        <f>SUBTOTAL(9,E119:E121)</f>
        <v>371884</v>
      </c>
      <c r="F122" s="1"/>
      <c r="H122" s="23"/>
      <c r="I122" s="23"/>
      <c r="J122" s="23"/>
    </row>
    <row r="123" spans="1:10" x14ac:dyDescent="0.2">
      <c r="A123" s="51" t="s">
        <v>5</v>
      </c>
      <c r="B123" s="23" t="s">
        <v>63</v>
      </c>
      <c r="C123" s="54">
        <v>43847</v>
      </c>
      <c r="D123" s="23">
        <v>15</v>
      </c>
      <c r="E123" s="53">
        <v>148762</v>
      </c>
      <c r="F123" s="1"/>
      <c r="H123" s="23" t="s">
        <v>132</v>
      </c>
      <c r="I123" s="23">
        <v>7</v>
      </c>
      <c r="J123" s="23">
        <v>107</v>
      </c>
    </row>
    <row r="124" spans="1:10" x14ac:dyDescent="0.2">
      <c r="A124" s="51" t="s">
        <v>5</v>
      </c>
      <c r="B124" s="81" t="s">
        <v>64</v>
      </c>
      <c r="C124" s="54">
        <v>44214</v>
      </c>
      <c r="D124" s="23">
        <v>14</v>
      </c>
      <c r="E124" s="53">
        <v>123919</v>
      </c>
      <c r="F124" s="1"/>
      <c r="H124" s="23" t="s">
        <v>133</v>
      </c>
      <c r="I124" s="23">
        <v>8</v>
      </c>
      <c r="J124" s="23">
        <v>108</v>
      </c>
    </row>
    <row r="125" spans="1:10" x14ac:dyDescent="0.2">
      <c r="A125" s="51" t="s">
        <v>5</v>
      </c>
      <c r="B125" s="23" t="s">
        <v>63</v>
      </c>
      <c r="C125" s="54">
        <v>44580</v>
      </c>
      <c r="D125" s="23">
        <v>15</v>
      </c>
      <c r="E125" s="53">
        <v>121464</v>
      </c>
      <c r="F125" s="1"/>
      <c r="H125" s="23" t="s">
        <v>0</v>
      </c>
      <c r="I125" s="23">
        <v>9</v>
      </c>
      <c r="J125" s="23">
        <v>109</v>
      </c>
    </row>
    <row r="126" spans="1:10" x14ac:dyDescent="0.2">
      <c r="A126" s="51"/>
      <c r="B126" s="23"/>
      <c r="C126" s="59"/>
      <c r="D126" s="23"/>
      <c r="E126" s="89">
        <f>SUBTOTAL(9,E123:E125)</f>
        <v>394145</v>
      </c>
      <c r="F126" s="1"/>
      <c r="H126" s="23"/>
      <c r="I126" s="23"/>
      <c r="J126" s="23"/>
    </row>
    <row r="127" spans="1:10" x14ac:dyDescent="0.2">
      <c r="A127" s="51" t="s">
        <v>6</v>
      </c>
      <c r="B127" s="23" t="s">
        <v>62</v>
      </c>
      <c r="C127" s="54">
        <v>43850</v>
      </c>
      <c r="D127" s="23">
        <v>16</v>
      </c>
      <c r="E127" s="53">
        <v>143686</v>
      </c>
      <c r="F127" s="1"/>
      <c r="H127" s="23" t="s">
        <v>134</v>
      </c>
      <c r="I127" s="23">
        <v>10</v>
      </c>
      <c r="J127" s="23">
        <v>110</v>
      </c>
    </row>
    <row r="128" spans="1:10" x14ac:dyDescent="0.2">
      <c r="A128" s="51" t="s">
        <v>6</v>
      </c>
      <c r="B128" s="23" t="s">
        <v>61</v>
      </c>
      <c r="C128" s="54">
        <v>44217</v>
      </c>
      <c r="D128" s="23">
        <v>12</v>
      </c>
      <c r="E128" s="53">
        <v>105918</v>
      </c>
      <c r="F128" s="1"/>
      <c r="H128" s="23" t="s">
        <v>135</v>
      </c>
      <c r="I128" s="23">
        <v>11</v>
      </c>
      <c r="J128" s="23">
        <v>111</v>
      </c>
    </row>
    <row r="129" spans="1:6" x14ac:dyDescent="0.2">
      <c r="A129" s="51"/>
      <c r="B129" s="23"/>
      <c r="C129" s="59"/>
      <c r="D129" s="23"/>
      <c r="E129" s="89">
        <f>SUBTOTAL(9,E126:E128)</f>
        <v>249604</v>
      </c>
      <c r="F129" s="1"/>
    </row>
    <row r="130" spans="1:6" x14ac:dyDescent="0.2">
      <c r="A130" s="51" t="s">
        <v>7</v>
      </c>
      <c r="B130" s="23" t="s">
        <v>60</v>
      </c>
      <c r="C130" s="54">
        <v>43852</v>
      </c>
      <c r="D130" s="23">
        <v>10</v>
      </c>
      <c r="E130" s="53">
        <v>137853</v>
      </c>
      <c r="F130" s="1"/>
    </row>
    <row r="131" spans="1:6" x14ac:dyDescent="0.2">
      <c r="A131" s="51" t="s">
        <v>7</v>
      </c>
      <c r="B131" s="23" t="s">
        <v>63</v>
      </c>
      <c r="C131" s="54">
        <v>43853</v>
      </c>
      <c r="D131" s="23">
        <v>12</v>
      </c>
      <c r="E131" s="53">
        <v>132117</v>
      </c>
      <c r="F131" s="1"/>
    </row>
    <row r="132" spans="1:6" x14ac:dyDescent="0.2">
      <c r="A132" s="51" t="s">
        <v>7</v>
      </c>
      <c r="B132" s="81" t="s">
        <v>64</v>
      </c>
      <c r="C132" s="54">
        <v>44220</v>
      </c>
      <c r="D132" s="23">
        <v>20</v>
      </c>
      <c r="E132" s="53">
        <v>106470</v>
      </c>
      <c r="F132" s="1"/>
    </row>
    <row r="133" spans="1:6" x14ac:dyDescent="0.2">
      <c r="A133" s="55" t="s">
        <v>7</v>
      </c>
      <c r="B133" s="56" t="s">
        <v>63</v>
      </c>
      <c r="C133" s="57">
        <v>44586</v>
      </c>
      <c r="D133" s="56">
        <v>13</v>
      </c>
      <c r="E133" s="58">
        <v>136030</v>
      </c>
      <c r="F133" s="1"/>
    </row>
    <row r="134" spans="1:6" x14ac:dyDescent="0.2">
      <c r="A134" s="55"/>
      <c r="B134" s="56"/>
      <c r="C134" s="80"/>
      <c r="D134" s="56"/>
      <c r="E134" s="89">
        <f>SUBTOTAL(9,E131:E133)</f>
        <v>374617</v>
      </c>
      <c r="F134" s="79"/>
    </row>
    <row r="135" spans="1:6" x14ac:dyDescent="0.2">
      <c r="E135" s="26" t="s">
        <v>136</v>
      </c>
    </row>
    <row r="137" spans="1:6" x14ac:dyDescent="0.2">
      <c r="E137">
        <f>SUBTOTAL(9,Table1[[#Data],[#Totals],[Unit Sales]])</f>
        <v>1904675</v>
      </c>
    </row>
    <row r="139" spans="1:6" x14ac:dyDescent="0.2">
      <c r="A139" s="20" t="s">
        <v>138</v>
      </c>
      <c r="E139" s="14">
        <f>SUMPRODUCT(Table1[Qty],Table1[Unit Sales])</f>
        <v>27225148</v>
      </c>
    </row>
    <row r="141" spans="1:6" x14ac:dyDescent="0.2">
      <c r="A141" s="46" t="s">
        <v>146</v>
      </c>
    </row>
    <row r="142" spans="1:6" x14ac:dyDescent="0.2">
      <c r="A142" s="23"/>
      <c r="B142" s="23"/>
      <c r="C142" s="23" t="s">
        <v>137</v>
      </c>
    </row>
    <row r="143" spans="1:6" x14ac:dyDescent="0.2">
      <c r="A143" s="23" t="s">
        <v>65</v>
      </c>
      <c r="B143" s="23" t="s">
        <v>64</v>
      </c>
      <c r="C143" s="23" cm="1">
        <f t="array" ref="C143">SUMPRODUCT(Table1[Genre]=B143)</f>
        <v>0</v>
      </c>
      <c r="D143" s="23"/>
    </row>
    <row r="144" spans="1:6" x14ac:dyDescent="0.2">
      <c r="A144" s="90"/>
      <c r="B144" t="s">
        <v>63</v>
      </c>
      <c r="C144" s="23" cm="1">
        <f t="array" ref="C144">SUMPRODUCT(--(Table1[Genre]=B143))</f>
        <v>3</v>
      </c>
      <c r="D144" s="23"/>
    </row>
    <row r="147" spans="1:7" s="20" customFormat="1" x14ac:dyDescent="0.2">
      <c r="A147" s="20" t="s">
        <v>139</v>
      </c>
    </row>
    <row r="149" spans="1:7" x14ac:dyDescent="0.2">
      <c r="A149" s="67" t="s">
        <v>140</v>
      </c>
      <c r="B149" s="67" t="s">
        <v>1</v>
      </c>
      <c r="C149" s="67" t="s">
        <v>65</v>
      </c>
      <c r="D149" s="67" t="s">
        <v>123</v>
      </c>
      <c r="E149" s="67" t="s">
        <v>124</v>
      </c>
      <c r="F149" s="67" t="s">
        <v>125</v>
      </c>
      <c r="G149" s="66" t="s">
        <v>141</v>
      </c>
    </row>
    <row r="150" spans="1:7" x14ac:dyDescent="0.2">
      <c r="A150" s="68" cm="1">
        <f t="array" ref="A150:A164">_xlfn.SEQUENCE(15,1,1,1)</f>
        <v>1</v>
      </c>
      <c r="B150" s="60" t="s">
        <v>3</v>
      </c>
      <c r="C150" s="60" t="s">
        <v>63</v>
      </c>
      <c r="D150" s="65">
        <v>43841</v>
      </c>
      <c r="E150" s="60">
        <v>14</v>
      </c>
      <c r="F150" s="61">
        <v>120131</v>
      </c>
      <c r="G150" s="23" cm="1">
        <f t="array" aca="1" ref="G150:G164" ca="1">_xlfn.RANDARRAY(15,1,1,100,TRUE)</f>
        <v>46</v>
      </c>
    </row>
    <row r="151" spans="1:7" x14ac:dyDescent="0.2">
      <c r="A151" s="68">
        <v>2</v>
      </c>
      <c r="B151" s="62" t="s">
        <v>3</v>
      </c>
      <c r="C151" s="62" t="s">
        <v>64</v>
      </c>
      <c r="D151" s="63">
        <v>44208</v>
      </c>
      <c r="E151" s="62">
        <v>16</v>
      </c>
      <c r="F151" s="64">
        <v>123919</v>
      </c>
      <c r="G151" s="23">
        <f ca="1"/>
        <v>56</v>
      </c>
    </row>
    <row r="152" spans="1:7" x14ac:dyDescent="0.2">
      <c r="A152" s="68">
        <v>3</v>
      </c>
      <c r="B152" s="60" t="s">
        <v>3</v>
      </c>
      <c r="C152" s="60" t="s">
        <v>63</v>
      </c>
      <c r="D152" s="65">
        <v>44574</v>
      </c>
      <c r="E152" s="60">
        <v>17</v>
      </c>
      <c r="F152" s="61">
        <v>132522</v>
      </c>
      <c r="G152" s="23">
        <f ca="1"/>
        <v>72</v>
      </c>
    </row>
    <row r="153" spans="1:7" x14ac:dyDescent="0.2">
      <c r="A153" s="68">
        <v>4</v>
      </c>
      <c r="B153" s="60" t="s">
        <v>4</v>
      </c>
      <c r="C153" s="60" t="s">
        <v>62</v>
      </c>
      <c r="D153" s="65">
        <v>43844</v>
      </c>
      <c r="E153" s="60">
        <v>10</v>
      </c>
      <c r="F153" s="61">
        <v>149433</v>
      </c>
      <c r="G153" s="23">
        <f ca="1"/>
        <v>70</v>
      </c>
    </row>
    <row r="154" spans="1:7" x14ac:dyDescent="0.2">
      <c r="A154" s="68">
        <v>5</v>
      </c>
      <c r="B154" s="62" t="s">
        <v>4</v>
      </c>
      <c r="C154" s="62" t="s">
        <v>61</v>
      </c>
      <c r="D154" s="63">
        <v>44211</v>
      </c>
      <c r="E154" s="62">
        <v>14</v>
      </c>
      <c r="F154" s="64">
        <v>102671</v>
      </c>
      <c r="G154" s="23">
        <f ca="1"/>
        <v>88</v>
      </c>
    </row>
    <row r="155" spans="1:7" x14ac:dyDescent="0.2">
      <c r="A155" s="68">
        <v>6</v>
      </c>
      <c r="B155" s="60" t="s">
        <v>4</v>
      </c>
      <c r="C155" s="60" t="s">
        <v>60</v>
      </c>
      <c r="D155" s="65">
        <v>44577</v>
      </c>
      <c r="E155" s="60">
        <v>18</v>
      </c>
      <c r="F155" s="61">
        <v>119780</v>
      </c>
      <c r="G155" s="23">
        <f ca="1"/>
        <v>45</v>
      </c>
    </row>
    <row r="156" spans="1:7" x14ac:dyDescent="0.2">
      <c r="A156" s="68">
        <v>7</v>
      </c>
      <c r="B156" s="60" t="s">
        <v>5</v>
      </c>
      <c r="C156" s="60" t="s">
        <v>63</v>
      </c>
      <c r="D156" s="65">
        <v>43847</v>
      </c>
      <c r="E156" s="60">
        <v>15</v>
      </c>
      <c r="F156" s="61">
        <v>148762</v>
      </c>
      <c r="G156" s="23">
        <f ca="1"/>
        <v>41</v>
      </c>
    </row>
    <row r="157" spans="1:7" x14ac:dyDescent="0.2">
      <c r="A157" s="68">
        <v>8</v>
      </c>
      <c r="B157" s="62" t="s">
        <v>5</v>
      </c>
      <c r="C157" s="62" t="s">
        <v>64</v>
      </c>
      <c r="D157" s="63">
        <v>44214</v>
      </c>
      <c r="E157" s="62">
        <v>14</v>
      </c>
      <c r="F157" s="64">
        <v>123919</v>
      </c>
      <c r="G157" s="23">
        <f ca="1"/>
        <v>76</v>
      </c>
    </row>
    <row r="158" spans="1:7" x14ac:dyDescent="0.2">
      <c r="A158" s="68">
        <v>9</v>
      </c>
      <c r="B158" s="60" t="s">
        <v>5</v>
      </c>
      <c r="C158" s="60" t="s">
        <v>63</v>
      </c>
      <c r="D158" s="65">
        <v>44580</v>
      </c>
      <c r="E158" s="60">
        <v>15</v>
      </c>
      <c r="F158" s="61">
        <v>121464</v>
      </c>
      <c r="G158" s="23">
        <f ca="1"/>
        <v>92</v>
      </c>
    </row>
    <row r="159" spans="1:7" x14ac:dyDescent="0.2">
      <c r="A159" s="68">
        <v>10</v>
      </c>
      <c r="B159" s="60" t="s">
        <v>6</v>
      </c>
      <c r="C159" s="60" t="s">
        <v>62</v>
      </c>
      <c r="D159" s="65">
        <v>43850</v>
      </c>
      <c r="E159" s="60">
        <v>16</v>
      </c>
      <c r="F159" s="61">
        <v>143686</v>
      </c>
      <c r="G159" s="23">
        <f ca="1"/>
        <v>7</v>
      </c>
    </row>
    <row r="160" spans="1:7" x14ac:dyDescent="0.2">
      <c r="A160" s="68">
        <v>11</v>
      </c>
      <c r="B160" s="62" t="s">
        <v>6</v>
      </c>
      <c r="C160" s="62" t="s">
        <v>61</v>
      </c>
      <c r="D160" s="63">
        <v>44217</v>
      </c>
      <c r="E160" s="62">
        <v>12</v>
      </c>
      <c r="F160" s="64">
        <v>105918</v>
      </c>
      <c r="G160" s="23">
        <f ca="1"/>
        <v>82</v>
      </c>
    </row>
    <row r="161" spans="1:7" x14ac:dyDescent="0.2">
      <c r="A161" s="68">
        <v>12</v>
      </c>
      <c r="B161" s="62" t="s">
        <v>7</v>
      </c>
      <c r="C161" s="62" t="s">
        <v>60</v>
      </c>
      <c r="D161" s="63">
        <v>43852</v>
      </c>
      <c r="E161" s="62">
        <v>10</v>
      </c>
      <c r="F161" s="64">
        <v>137853</v>
      </c>
      <c r="G161" s="23">
        <f ca="1"/>
        <v>3</v>
      </c>
    </row>
    <row r="162" spans="1:7" x14ac:dyDescent="0.2">
      <c r="A162" s="68">
        <v>13</v>
      </c>
      <c r="B162" s="60" t="s">
        <v>7</v>
      </c>
      <c r="C162" s="60" t="s">
        <v>63</v>
      </c>
      <c r="D162" s="65">
        <v>43853</v>
      </c>
      <c r="E162" s="60">
        <v>12</v>
      </c>
      <c r="F162" s="61">
        <v>132117</v>
      </c>
      <c r="G162" s="23">
        <f ca="1"/>
        <v>83</v>
      </c>
    </row>
    <row r="163" spans="1:7" x14ac:dyDescent="0.2">
      <c r="A163" s="68">
        <v>14</v>
      </c>
      <c r="B163" s="62" t="s">
        <v>7</v>
      </c>
      <c r="C163" s="62" t="s">
        <v>64</v>
      </c>
      <c r="D163" s="63">
        <v>44220</v>
      </c>
      <c r="E163" s="62">
        <v>20</v>
      </c>
      <c r="F163" s="64">
        <v>106470</v>
      </c>
      <c r="G163" s="23">
        <f ca="1"/>
        <v>56</v>
      </c>
    </row>
    <row r="164" spans="1:7" x14ac:dyDescent="0.2">
      <c r="A164" s="68">
        <v>15</v>
      </c>
      <c r="B164" s="60" t="s">
        <v>7</v>
      </c>
      <c r="C164" s="60" t="s">
        <v>63</v>
      </c>
      <c r="D164" s="65">
        <v>44586</v>
      </c>
      <c r="E164" s="60">
        <v>13</v>
      </c>
      <c r="F164" s="61">
        <v>136030</v>
      </c>
      <c r="G164" s="23">
        <f ca="1"/>
        <v>24</v>
      </c>
    </row>
    <row r="165" spans="1:7" x14ac:dyDescent="0.2">
      <c r="B165" s="82"/>
    </row>
    <row r="166" spans="1:7" s="78" customFormat="1" x14ac:dyDescent="0.2"/>
    <row r="171" spans="1:7" x14ac:dyDescent="0.2">
      <c r="B171" t="s">
        <v>148</v>
      </c>
    </row>
  </sheetData>
  <mergeCells count="5">
    <mergeCell ref="A51:A52"/>
    <mergeCell ref="B51:B52"/>
    <mergeCell ref="D50:D51"/>
    <mergeCell ref="E50:E51"/>
    <mergeCell ref="A80:C8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Textfunctions</vt:lpstr>
      <vt:lpstr>Maths-Stats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Rout</dc:creator>
  <cp:lastModifiedBy>Parag Afzulpurkar</cp:lastModifiedBy>
  <dcterms:created xsi:type="dcterms:W3CDTF">2023-02-02T11:10:07Z</dcterms:created>
  <dcterms:modified xsi:type="dcterms:W3CDTF">2025-08-21T11:28:18Z</dcterms:modified>
</cp:coreProperties>
</file>