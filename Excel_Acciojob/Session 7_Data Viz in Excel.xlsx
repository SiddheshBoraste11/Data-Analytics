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xcel_Acciojob\"/>
    </mc:Choice>
  </mc:AlternateContent>
  <xr:revisionPtr revIDLastSave="0" documentId="13_ncr:1_{0F97C328-4712-4F5B-867A-1B94F3916AA1}" xr6:coauthVersionLast="47" xr6:coauthVersionMax="47" xr10:uidLastSave="{00000000-0000-0000-0000-000000000000}"/>
  <bookViews>
    <workbookView xWindow="-120" yWindow="-120" windowWidth="20730" windowHeight="11160" activeTab="4" xr2:uid="{D431C621-0A29-43DA-9D15-AAF36258FD61}"/>
  </bookViews>
  <sheets>
    <sheet name="Chart Design" sheetId="1" r:id="rId1"/>
    <sheet name="Format" sheetId="4" r:id="rId2"/>
    <sheet name="Coloumn_bar" sheetId="5" r:id="rId3"/>
    <sheet name="Line" sheetId="7" r:id="rId4"/>
    <sheet name="Sparklines" sheetId="9" r:id="rId5"/>
    <sheet name="Trendlines" sheetId="8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8" l="1"/>
  <c r="B7" i="8" s="1"/>
  <c r="B8" i="8" s="1"/>
  <c r="B9" i="8" s="1"/>
  <c r="B10" i="8" s="1"/>
  <c r="B11" i="8" s="1"/>
  <c r="B12" i="8" s="1"/>
  <c r="B25" i="8"/>
  <c r="B26" i="8" s="1"/>
  <c r="B27" i="8" s="1"/>
  <c r="B28" i="8" s="1"/>
  <c r="B42" i="8"/>
  <c r="B43" i="8" s="1"/>
  <c r="B60" i="8"/>
  <c r="B61" i="8" s="1"/>
  <c r="B62" i="8" s="1"/>
  <c r="B63" i="8" s="1"/>
  <c r="B64" i="8" s="1"/>
  <c r="B65" i="8" s="1"/>
  <c r="B66" i="8" s="1"/>
  <c r="B67" i="8" s="1"/>
  <c r="B68" i="8" s="1"/>
  <c r="N4" i="5"/>
  <c r="N5" i="5"/>
  <c r="N8" i="5" s="1"/>
  <c r="N6" i="5"/>
  <c r="N7" i="5"/>
  <c r="B8" i="5"/>
  <c r="C8" i="5"/>
  <c r="D8" i="5"/>
  <c r="E8" i="5"/>
  <c r="F8" i="5"/>
  <c r="G8" i="5"/>
  <c r="H8" i="5"/>
  <c r="I8" i="5"/>
  <c r="J8" i="5"/>
  <c r="K8" i="5"/>
  <c r="L8" i="5"/>
  <c r="M8" i="5"/>
</calcChain>
</file>

<file path=xl/sharedStrings.xml><?xml version="1.0" encoding="utf-8"?>
<sst xmlns="http://schemas.openxmlformats.org/spreadsheetml/2006/main" count="140" uniqueCount="72">
  <si>
    <t>Sales</t>
  </si>
  <si>
    <t>Publisher</t>
  </si>
  <si>
    <t>Jan</t>
  </si>
  <si>
    <t>Feb</t>
  </si>
  <si>
    <t>Nintendo</t>
  </si>
  <si>
    <t>Super Mario Bros.</t>
  </si>
  <si>
    <t>Tetris</t>
  </si>
  <si>
    <t>Pac-Man</t>
  </si>
  <si>
    <t>FIFA 16</t>
  </si>
  <si>
    <t>March</t>
  </si>
  <si>
    <t>Diwali Sales</t>
  </si>
  <si>
    <t>Rocket</t>
  </si>
  <si>
    <t>Anaar</t>
  </si>
  <si>
    <t>Ladi Bomb</t>
  </si>
  <si>
    <t>Total</t>
  </si>
  <si>
    <t>YTD Sales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</si>
  <si>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</si>
  <si>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</si>
  <si>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</si>
  <si>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</si>
  <si>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</si>
  <si>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</si>
  <si>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</si>
  <si>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</si>
  <si>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</si>
  <si>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</si>
  <si>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Sales - 2022</t>
  </si>
  <si>
    <t>Date</t>
  </si>
  <si>
    <t>Publishers</t>
  </si>
  <si>
    <t>Jan Sales - 2022</t>
  </si>
  <si>
    <t>Mar 16, 2023</t>
  </si>
  <si>
    <t>Mar 15, 2023</t>
  </si>
  <si>
    <t>Mar 14, 2023</t>
  </si>
  <si>
    <t>Mar 13, 2023</t>
  </si>
  <si>
    <t>Mar 10, 2023</t>
  </si>
  <si>
    <t>Mar 09, 2023</t>
  </si>
  <si>
    <t>Mar 08, 2023</t>
  </si>
  <si>
    <t>Mar 06, 2023</t>
  </si>
  <si>
    <t>Mar 03, 2023</t>
  </si>
  <si>
    <t>Mar 02, 2023</t>
  </si>
  <si>
    <t>Mar 01, 2023</t>
  </si>
  <si>
    <t>Feb 28, 2023</t>
  </si>
  <si>
    <t>Feb 27, 2023</t>
  </si>
  <si>
    <t>Feb 24, 2023</t>
  </si>
  <si>
    <t>Feb 23, 2023</t>
  </si>
  <si>
    <t>Feb 22, 2023</t>
  </si>
  <si>
    <t>Feb 21, 2023</t>
  </si>
  <si>
    <t>Feb 20, 2023</t>
  </si>
  <si>
    <t>Feb 17, 2023</t>
  </si>
  <si>
    <t>Feb 16, 2023</t>
  </si>
  <si>
    <t>Feb 15, 2023</t>
  </si>
  <si>
    <t>Price</t>
  </si>
  <si>
    <t>Zomato Share price</t>
  </si>
  <si>
    <t>Moving Average trendline</t>
  </si>
  <si>
    <t>Meters</t>
  </si>
  <si>
    <t>Seconds</t>
  </si>
  <si>
    <t>Race car acceleration</t>
  </si>
  <si>
    <t>Power trendline</t>
  </si>
  <si>
    <t>Year</t>
  </si>
  <si>
    <t>Sales before and after COVID</t>
  </si>
  <si>
    <t>Polynomial trendline</t>
  </si>
  <si>
    <t>Supply</t>
  </si>
  <si>
    <t>Engine Part Supply + Shortfall</t>
  </si>
  <si>
    <t>Logarithmic trendline</t>
  </si>
  <si>
    <t>Population</t>
  </si>
  <si>
    <t>Some Animal Population</t>
  </si>
  <si>
    <t>Exponential trendline</t>
  </si>
  <si>
    <t>SPARKLINE - WIN/LOSS</t>
  </si>
  <si>
    <t>Deman/Supply - 2022</t>
  </si>
  <si>
    <t xml:space="preserve"> </t>
  </si>
  <si>
    <t>Sparkline - Line</t>
  </si>
  <si>
    <t>Sparkline -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</si>
</sst>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"/>
    <numFmt numFmtId="165" formatCode="dd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165" fontId="1" fillId="3" borderId="1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4" xfId="0" applyFill="1" applyBorder="1"/>
    <xf numFmtId="10" fontId="0" fillId="0" borderId="0" xfId="0" applyNumberFormat="1"/>
    <xf numFmtId="0" fontId="2" fillId="2" borderId="0" xfId="0" applyFont="1" applyFill="1"/>
    <xf numFmtId="0" fontId="0" fillId="2" borderId="0" xfId="0" applyFill="1"/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Sales Q1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Design'!$B$12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Design'!$A$13:$A$17</c:f>
              <c:strCache>
                <c:ptCount val="5"/>
                <c:pt idx="0">
                  <c:v>Nintendo</c:v>
                </c:pt>
                <c:pt idx="1">
                  <c:v>Super Mario Bros.</c:v>
                </c:pt>
                <c:pt idx="2">
                  <c:v>Tetris</c:v>
                </c:pt>
                <c:pt idx="3">
                  <c:v>Pac-Man</c:v>
                </c:pt>
                <c:pt idx="4">
                  <c:v>FIFA 16</c:v>
                </c:pt>
              </c:strCache>
            </c:strRef>
          </c:cat>
          <c:val>
            <c:numRef>
              <c:f>'Chart Design'!$B$13:$B$17</c:f>
              <c:numCache>
                <c:formatCode>General</c:formatCode>
                <c:ptCount val="5"/>
                <c:pt idx="0">
                  <c:v>242</c:v>
                </c:pt>
                <c:pt idx="1">
                  <c:v>231</c:v>
                </c:pt>
                <c:pt idx="2">
                  <c:v>254</c:v>
                </c:pt>
                <c:pt idx="3">
                  <c:v>236</c:v>
                </c:pt>
                <c:pt idx="4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3-D44F-9F1C-4F8E8675B0F1}"/>
            </c:ext>
          </c:extLst>
        </c:ser>
        <c:ser>
          <c:idx val="1"/>
          <c:order val="1"/>
          <c:tx>
            <c:strRef>
              <c:f>'Chart Design'!$C$12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Design'!$A$13:$A$17</c:f>
              <c:strCache>
                <c:ptCount val="5"/>
                <c:pt idx="0">
                  <c:v>Nintendo</c:v>
                </c:pt>
                <c:pt idx="1">
                  <c:v>Super Mario Bros.</c:v>
                </c:pt>
                <c:pt idx="2">
                  <c:v>Tetris</c:v>
                </c:pt>
                <c:pt idx="3">
                  <c:v>Pac-Man</c:v>
                </c:pt>
                <c:pt idx="4">
                  <c:v>FIFA 16</c:v>
                </c:pt>
              </c:strCache>
            </c:strRef>
          </c:cat>
          <c:val>
            <c:numRef>
              <c:f>'Chart Design'!$C$13:$C$17</c:f>
              <c:numCache>
                <c:formatCode>General</c:formatCode>
                <c:ptCount val="5"/>
                <c:pt idx="0">
                  <c:v>232</c:v>
                </c:pt>
                <c:pt idx="1">
                  <c:v>246</c:v>
                </c:pt>
                <c:pt idx="2">
                  <c:v>257</c:v>
                </c:pt>
                <c:pt idx="3">
                  <c:v>238</c:v>
                </c:pt>
                <c:pt idx="4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3-D44F-9F1C-4F8E8675B0F1}"/>
            </c:ext>
          </c:extLst>
        </c:ser>
        <c:ser>
          <c:idx val="2"/>
          <c:order val="2"/>
          <c:tx>
            <c:strRef>
              <c:f>'Chart Design'!$D$12</c:f>
              <c:strCache>
                <c:ptCount val="1"/>
                <c:pt idx="0">
                  <c:v>March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Design'!$A$13:$A$17</c:f>
              <c:strCache>
                <c:ptCount val="5"/>
                <c:pt idx="0">
                  <c:v>Nintendo</c:v>
                </c:pt>
                <c:pt idx="1">
                  <c:v>Super Mario Bros.</c:v>
                </c:pt>
                <c:pt idx="2">
                  <c:v>Tetris</c:v>
                </c:pt>
                <c:pt idx="3">
                  <c:v>Pac-Man</c:v>
                </c:pt>
                <c:pt idx="4">
                  <c:v>FIFA 16</c:v>
                </c:pt>
              </c:strCache>
            </c:strRef>
          </c:cat>
          <c:val>
            <c:numRef>
              <c:f>'Chart Design'!$D$13:$D$17</c:f>
              <c:numCache>
                <c:formatCode>General</c:formatCode>
                <c:ptCount val="5"/>
                <c:pt idx="0">
                  <c:v>256</c:v>
                </c:pt>
                <c:pt idx="1">
                  <c:v>260</c:v>
                </c:pt>
                <c:pt idx="2">
                  <c:v>255</c:v>
                </c:pt>
                <c:pt idx="3">
                  <c:v>256</c:v>
                </c:pt>
                <c:pt idx="4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83-D44F-9F1C-4F8E8675B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5"/>
        <c:axId val="1131763904"/>
        <c:axId val="1593944320"/>
      </c:barChart>
      <c:catAx>
        <c:axId val="113176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944320"/>
        <c:crosses val="autoZero"/>
        <c:auto val="1"/>
        <c:lblAlgn val="ctr"/>
        <c:lblOffset val="100"/>
        <c:noMultiLvlLbl val="0"/>
      </c:catAx>
      <c:valAx>
        <c:axId val="159394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76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[1]Sheet1!$B$2</c:f>
          <c:strCache>
            <c:ptCount val="1"/>
            <c:pt idx="0">
              <c:v>Sales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accent2">
                  <a:lumMod val="7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[1]Sheet1!$B$3</c:f>
              <c:strCache>
                <c:ptCount val="1"/>
              </c:strCache>
            </c:strRef>
          </c:tx>
          <c:spPr>
            <a:solidFill>
              <a:schemeClr val="accent1"/>
            </a:solidFill>
            <a:ln w="12700">
              <a:solidFill>
                <a:schemeClr val="tx1"/>
              </a:solidFill>
            </a:ln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c:spPr>
          <c:invertIfNegative val="0"/>
          <c:cat>
            <c:numRef>
              <c:f>[1]Sheet1!$A$4:$A$8</c:f>
              <c:numCache>
                <c:formatCode>General</c:formatCode>
                <c:ptCount val="5"/>
              </c:numCache>
            </c:numRef>
          </c:cat>
          <c:val>
            <c:numRef>
              <c:f>[1]Sheet1!$B$4:$B$8</c:f>
              <c:numCache>
                <c:formatCode>General</c:formatCode>
                <c:ptCount val="5"/>
                <c:pt idx="0">
                  <c:v>242</c:v>
                </c:pt>
                <c:pt idx="1">
                  <c:v>231</c:v>
                </c:pt>
                <c:pt idx="2">
                  <c:v>254</c:v>
                </c:pt>
                <c:pt idx="3">
                  <c:v>236</c:v>
                </c:pt>
                <c:pt idx="4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A-664E-94AE-E4B8517C4836}"/>
            </c:ext>
          </c:extLst>
        </c:ser>
        <c:ser>
          <c:idx val="1"/>
          <c:order val="1"/>
          <c:tx>
            <c:strRef>
              <c:f>[1]Sheet1!$C$3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[1]Sheet1!$A$4:$A$8</c:f>
              <c:numCache>
                <c:formatCode>General</c:formatCode>
                <c:ptCount val="5"/>
              </c:numCache>
            </c:numRef>
          </c:cat>
          <c:val>
            <c:numRef>
              <c:f>[1]Sheet1!$C$4:$C$8</c:f>
              <c:numCache>
                <c:formatCode>General</c:formatCode>
                <c:ptCount val="5"/>
                <c:pt idx="0">
                  <c:v>232</c:v>
                </c:pt>
                <c:pt idx="1">
                  <c:v>246</c:v>
                </c:pt>
                <c:pt idx="2">
                  <c:v>257</c:v>
                </c:pt>
                <c:pt idx="3">
                  <c:v>238</c:v>
                </c:pt>
                <c:pt idx="4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BA-664E-94AE-E4B8517C4836}"/>
            </c:ext>
          </c:extLst>
        </c:ser>
        <c:ser>
          <c:idx val="2"/>
          <c:order val="2"/>
          <c:tx>
            <c:strRef>
              <c:f>[1]Sheet1!$D$3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[1]Sheet1!$A$4:$A$8</c:f>
              <c:numCache>
                <c:formatCode>General</c:formatCode>
                <c:ptCount val="5"/>
              </c:numCache>
            </c:numRef>
          </c:cat>
          <c:val>
            <c:numRef>
              <c:f>[1]Sheet1!$D$4:$D$8</c:f>
              <c:numCache>
                <c:formatCode>General</c:formatCode>
                <c:ptCount val="5"/>
                <c:pt idx="0">
                  <c:v>256</c:v>
                </c:pt>
                <c:pt idx="1">
                  <c:v>260</c:v>
                </c:pt>
                <c:pt idx="2">
                  <c:v>255</c:v>
                </c:pt>
                <c:pt idx="3">
                  <c:v>256</c:v>
                </c:pt>
                <c:pt idx="4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BA-664E-94AE-E4B8517C4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227584"/>
        <c:axId val="1003228664"/>
      </c:barChart>
      <c:catAx>
        <c:axId val="100322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28664"/>
        <c:crosses val="autoZero"/>
        <c:auto val="1"/>
        <c:lblAlgn val="ctr"/>
        <c:lblOffset val="100"/>
        <c:noMultiLvlLbl val="0"/>
      </c:catAx>
      <c:valAx>
        <c:axId val="1003228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2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[1]Sheet1!$B$23</c:f>
          <c:strCache>
            <c:ptCount val="1"/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[1]Sheet1!$A$24:$A$26</c:f>
              <c:numCache>
                <c:formatCode>General</c:formatCode>
                <c:ptCount val="3"/>
              </c:numCache>
            </c:numRef>
          </c:cat>
          <c:val>
            <c:numRef>
              <c:f>[1]Sheet1!$B$24:$B$26</c:f>
              <c:numCache>
                <c:formatCode>General</c:formatCode>
                <c:ptCount val="3"/>
                <c:pt idx="0">
                  <c:v>242</c:v>
                </c:pt>
                <c:pt idx="1">
                  <c:v>245</c:v>
                </c:pt>
                <c:pt idx="2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3-0B46-94D4-B6B93E422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236224"/>
        <c:axId val="1003229384"/>
      </c:barChart>
      <c:catAx>
        <c:axId val="100323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29384"/>
        <c:crosses val="autoZero"/>
        <c:auto val="1"/>
        <c:lblAlgn val="ctr"/>
        <c:lblOffset val="100"/>
        <c:noMultiLvlLbl val="0"/>
      </c:catAx>
      <c:valAx>
        <c:axId val="1003229384"/>
        <c:scaling>
          <c:orientation val="minMax"/>
          <c:max val="245"/>
          <c:min val="24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36224"/>
        <c:crosses val="autoZero"/>
        <c:crossBetween val="between"/>
        <c:majorUnit val="2"/>
        <c:min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359296939322887E-2"/>
          <c:y val="2.5918188448645178E-2"/>
          <c:w val="0.93615602494811556"/>
          <c:h val="0.751794962646646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Coloumn_bar!$A$3</c:f>
              <c:strCache>
                <c:ptCount val="1"/>
                <c:pt idx="0">
                  <c:v>Publisher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Coloumn_bar!$B$2:$N$2</c:f>
              <c:strCache>
                <c:ptCount val="1"/>
                <c:pt idx="0">
                  <c:v>Sales - 2022</c:v>
                </c:pt>
              </c:strCache>
            </c:strRef>
          </c:cat>
          <c:val>
            <c:numRef>
              <c:f>Coloumn_bar!$B$3:$N$3</c:f>
              <c:numCache>
                <c:formatCode>mmm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6-4CD5-BE34-C92DAF317556}"/>
            </c:ext>
          </c:extLst>
        </c:ser>
        <c:ser>
          <c:idx val="1"/>
          <c:order val="1"/>
          <c:tx>
            <c:strRef>
              <c:f>Coloumn_bar!$A$4</c:f>
              <c:strCache>
                <c:ptCount val="1"/>
                <c:pt idx="0">
                  <c:v>Nintendo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Coloumn_bar!$B$2:$N$2</c:f>
              <c:strCache>
                <c:ptCount val="1"/>
                <c:pt idx="0">
                  <c:v>Sales - 2022</c:v>
                </c:pt>
              </c:strCache>
            </c:strRef>
          </c:cat>
          <c:val>
            <c:numRef>
              <c:f>Coloumn_bar!$B$4:$N$4</c:f>
              <c:numCache>
                <c:formatCode>General</c:formatCode>
                <c:ptCount val="13"/>
                <c:pt idx="0">
                  <c:v>65935</c:v>
                </c:pt>
                <c:pt idx="1">
                  <c:v>71626</c:v>
                </c:pt>
                <c:pt idx="2">
                  <c:v>60190</c:v>
                </c:pt>
                <c:pt idx="3">
                  <c:v>63486</c:v>
                </c:pt>
                <c:pt idx="4">
                  <c:v>68230</c:v>
                </c:pt>
                <c:pt idx="5">
                  <c:v>66543</c:v>
                </c:pt>
                <c:pt idx="6">
                  <c:v>60033</c:v>
                </c:pt>
                <c:pt idx="7">
                  <c:v>66678</c:v>
                </c:pt>
                <c:pt idx="8">
                  <c:v>69778</c:v>
                </c:pt>
                <c:pt idx="9">
                  <c:v>62943</c:v>
                </c:pt>
                <c:pt idx="10">
                  <c:v>62479</c:v>
                </c:pt>
                <c:pt idx="11">
                  <c:v>65506</c:v>
                </c:pt>
                <c:pt idx="12">
                  <c:v>783427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86-4CD5-BE34-C92DAF317556}"/>
            </c:ext>
          </c:extLst>
        </c:ser>
        <c:ser>
          <c:idx val="2"/>
          <c:order val="2"/>
          <c:tx>
            <c:strRef>
              <c:f>Coloumn_bar!$A$5</c:f>
              <c:strCache>
                <c:ptCount val="1"/>
                <c:pt idx="0">
                  <c:v>Tetris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Coloumn_bar!$B$2:$N$2</c:f>
              <c:strCache>
                <c:ptCount val="1"/>
                <c:pt idx="0">
                  <c:v>Sales - 2022</c:v>
                </c:pt>
              </c:strCache>
            </c:strRef>
          </c:cat>
          <c:val>
            <c:numRef>
              <c:f>Coloumn_bar!$B$5:$N$5</c:f>
              <c:numCache>
                <c:formatCode>General</c:formatCode>
                <c:ptCount val="13"/>
                <c:pt idx="0">
                  <c:v>72588</c:v>
                </c:pt>
                <c:pt idx="1">
                  <c:v>73998</c:v>
                </c:pt>
                <c:pt idx="2">
                  <c:v>60871</c:v>
                </c:pt>
                <c:pt idx="3">
                  <c:v>68991</c:v>
                </c:pt>
                <c:pt idx="4">
                  <c:v>67690</c:v>
                </c:pt>
                <c:pt idx="5">
                  <c:v>71043</c:v>
                </c:pt>
                <c:pt idx="6">
                  <c:v>69199</c:v>
                </c:pt>
                <c:pt idx="7">
                  <c:v>62653</c:v>
                </c:pt>
                <c:pt idx="8">
                  <c:v>61314</c:v>
                </c:pt>
                <c:pt idx="9">
                  <c:v>64443</c:v>
                </c:pt>
                <c:pt idx="10">
                  <c:v>70994</c:v>
                </c:pt>
                <c:pt idx="11">
                  <c:v>71318</c:v>
                </c:pt>
                <c:pt idx="12">
                  <c:v>815102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86-4CD5-BE34-C92DAF317556}"/>
            </c:ext>
          </c:extLst>
        </c:ser>
        <c:ser>
          <c:idx val="3"/>
          <c:order val="3"/>
          <c:tx>
            <c:strRef>
              <c:f>Coloumn_bar!$A$6</c:f>
              <c:strCache>
                <c:ptCount val="1"/>
                <c:pt idx="0">
                  <c:v>Pac-Man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Coloumn_bar!$B$2:$N$2</c:f>
              <c:strCache>
                <c:ptCount val="1"/>
                <c:pt idx="0">
                  <c:v>Sales - 2022</c:v>
                </c:pt>
              </c:strCache>
            </c:strRef>
          </c:cat>
          <c:val>
            <c:numRef>
              <c:f>Coloumn_bar!$B$6:$N$6</c:f>
              <c:numCache>
                <c:formatCode>General</c:formatCode>
                <c:ptCount val="13"/>
                <c:pt idx="0">
                  <c:v>72469</c:v>
                </c:pt>
                <c:pt idx="1">
                  <c:v>67091</c:v>
                </c:pt>
                <c:pt idx="2">
                  <c:v>69251</c:v>
                </c:pt>
                <c:pt idx="3">
                  <c:v>74970</c:v>
                </c:pt>
                <c:pt idx="4">
                  <c:v>72367</c:v>
                </c:pt>
                <c:pt idx="5">
                  <c:v>73061</c:v>
                </c:pt>
                <c:pt idx="6">
                  <c:v>65210</c:v>
                </c:pt>
                <c:pt idx="7">
                  <c:v>74305</c:v>
                </c:pt>
                <c:pt idx="8">
                  <c:v>61614</c:v>
                </c:pt>
                <c:pt idx="9">
                  <c:v>68414</c:v>
                </c:pt>
                <c:pt idx="10">
                  <c:v>68707</c:v>
                </c:pt>
                <c:pt idx="11">
                  <c:v>72506</c:v>
                </c:pt>
                <c:pt idx="12">
                  <c:v>839965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86-4CD5-BE34-C92DAF317556}"/>
            </c:ext>
          </c:extLst>
        </c:ser>
        <c:ser>
          <c:idx val="4"/>
          <c:order val="4"/>
          <c:tx>
            <c:strRef>
              <c:f>Coloumn_bar!$A$7</c:f>
              <c:strCache>
                <c:ptCount val="1"/>
                <c:pt idx="0">
                  <c:v>FIFA 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Coloumn_bar!$B$2:$N$2</c:f>
              <c:strCache>
                <c:ptCount val="1"/>
                <c:pt idx="0">
                  <c:v>Sales - 2022</c:v>
                </c:pt>
              </c:strCache>
            </c:strRef>
          </c:cat>
          <c:val>
            <c:numRef>
              <c:f>Coloumn_bar!$B$7:$N$7</c:f>
              <c:numCache>
                <c:formatCode>General</c:formatCode>
                <c:ptCount val="13"/>
                <c:pt idx="0">
                  <c:v>66693</c:v>
                </c:pt>
                <c:pt idx="1">
                  <c:v>73808</c:v>
                </c:pt>
                <c:pt idx="2">
                  <c:v>72831</c:v>
                </c:pt>
                <c:pt idx="3">
                  <c:v>71978</c:v>
                </c:pt>
                <c:pt idx="4">
                  <c:v>70076</c:v>
                </c:pt>
                <c:pt idx="5">
                  <c:v>73257</c:v>
                </c:pt>
                <c:pt idx="6">
                  <c:v>63108</c:v>
                </c:pt>
                <c:pt idx="7">
                  <c:v>60860</c:v>
                </c:pt>
                <c:pt idx="8">
                  <c:v>70193</c:v>
                </c:pt>
                <c:pt idx="9">
                  <c:v>64483</c:v>
                </c:pt>
                <c:pt idx="10">
                  <c:v>73427</c:v>
                </c:pt>
                <c:pt idx="11">
                  <c:v>66581</c:v>
                </c:pt>
                <c:pt idx="12">
                  <c:v>827295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86-4CD5-BE34-C92DAF317556}"/>
            </c:ext>
          </c:extLst>
        </c:ser>
        <c:ser>
          <c:idx val="5"/>
          <c:order val="5"/>
          <c:tx>
            <c:strRef>
              <c:f>Coloumn_bar!$A$8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Coloumn_bar!$B$2:$N$2</c:f>
              <c:strCache>
                <c:ptCount val="1"/>
                <c:pt idx="0">
                  <c:v>Sales - 2022</c:v>
                </c:pt>
              </c:strCache>
            </c:strRef>
          </c:cat>
          <c:val>
            <c:numRef>
              <c:f>Coloumn_bar!$B$8:$N$8</c:f>
              <c:numCache>
                <c:formatCode>General</c:formatCode>
                <c:ptCount val="13"/>
                <c:pt idx="0">
                  <c:v>277685</c:v>
                </c:pt>
                <c:pt idx="1">
                  <c:v>286523</c:v>
                </c:pt>
                <c:pt idx="2">
                  <c:v>263143</c:v>
                </c:pt>
                <c:pt idx="3">
                  <c:v>279425</c:v>
                </c:pt>
                <c:pt idx="4">
                  <c:v>278363</c:v>
                </c:pt>
                <c:pt idx="5">
                  <c:v>283904</c:v>
                </c:pt>
                <c:pt idx="6">
                  <c:v>257550</c:v>
                </c:pt>
                <c:pt idx="7">
                  <c:v>264496</c:v>
                </c:pt>
                <c:pt idx="8">
                  <c:v>262899</c:v>
                </c:pt>
                <c:pt idx="9">
                  <c:v>260283</c:v>
                </c:pt>
                <c:pt idx="10">
                  <c:v>275607</c:v>
                </c:pt>
                <c:pt idx="11">
                  <c:v>275911</c:v>
                </c:pt>
                <c:pt idx="12">
                  <c:v>3265789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86-4CD5-BE34-C92DAF317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2641936"/>
        <c:axId val="1642643184"/>
      </c:barChart>
      <c:catAx>
        <c:axId val="164264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643184"/>
        <c:crosses val="autoZero"/>
        <c:auto val="1"/>
        <c:lblAlgn val="ctr"/>
        <c:lblOffset val="100"/>
        <c:noMultiLvlLbl val="0"/>
      </c:catAx>
      <c:valAx>
        <c:axId val="164264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64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Jan</a:t>
            </a:r>
            <a:r>
              <a:rPr lang="en-GB" baseline="0"/>
              <a:t> Sales - 2022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Line!$B$3</c:f>
              <c:strCache>
                <c:ptCount val="1"/>
                <c:pt idx="0">
                  <c:v>Nintendo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Line!$A$4:$A$34</c:f>
              <c:numCache>
                <c:formatCode>dd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Line!$B$4:$B$34</c:f>
              <c:numCache>
                <c:formatCode>General</c:formatCode>
                <c:ptCount val="31"/>
                <c:pt idx="0">
                  <c:v>5400</c:v>
                </c:pt>
                <c:pt idx="1">
                  <c:v>5733</c:v>
                </c:pt>
                <c:pt idx="2">
                  <c:v>5434</c:v>
                </c:pt>
                <c:pt idx="3">
                  <c:v>5764</c:v>
                </c:pt>
                <c:pt idx="4">
                  <c:v>5223</c:v>
                </c:pt>
                <c:pt idx="5">
                  <c:v>5627</c:v>
                </c:pt>
                <c:pt idx="6">
                  <c:v>5668</c:v>
                </c:pt>
                <c:pt idx="7">
                  <c:v>5080</c:v>
                </c:pt>
                <c:pt idx="8">
                  <c:v>5056</c:v>
                </c:pt>
                <c:pt idx="9">
                  <c:v>5283</c:v>
                </c:pt>
                <c:pt idx="10">
                  <c:v>5639</c:v>
                </c:pt>
                <c:pt idx="11">
                  <c:v>5772</c:v>
                </c:pt>
                <c:pt idx="12">
                  <c:v>5112</c:v>
                </c:pt>
                <c:pt idx="13">
                  <c:v>5875</c:v>
                </c:pt>
                <c:pt idx="14">
                  <c:v>5623</c:v>
                </c:pt>
                <c:pt idx="15">
                  <c:v>5175</c:v>
                </c:pt>
                <c:pt idx="16">
                  <c:v>5751</c:v>
                </c:pt>
                <c:pt idx="17">
                  <c:v>5777</c:v>
                </c:pt>
                <c:pt idx="18">
                  <c:v>5429</c:v>
                </c:pt>
                <c:pt idx="19">
                  <c:v>5300</c:v>
                </c:pt>
                <c:pt idx="20">
                  <c:v>5771</c:v>
                </c:pt>
                <c:pt idx="21">
                  <c:v>5310</c:v>
                </c:pt>
                <c:pt idx="22">
                  <c:v>5339</c:v>
                </c:pt>
                <c:pt idx="23">
                  <c:v>5248</c:v>
                </c:pt>
                <c:pt idx="24">
                  <c:v>5005</c:v>
                </c:pt>
                <c:pt idx="25">
                  <c:v>5646</c:v>
                </c:pt>
                <c:pt idx="26">
                  <c:v>5457</c:v>
                </c:pt>
                <c:pt idx="27">
                  <c:v>5429</c:v>
                </c:pt>
                <c:pt idx="28">
                  <c:v>5547</c:v>
                </c:pt>
                <c:pt idx="29">
                  <c:v>5435</c:v>
                </c:pt>
                <c:pt idx="30">
                  <c:v>5304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2E-3442-93E5-DAC19AA44DFB}"/>
            </c:ext>
          </c:extLst>
        </c:ser>
        <c:ser>
          <c:idx val="1"/>
          <c:order val="1"/>
          <c:tx>
            <c:strRef>
              <c:f>Line!$C$3</c:f>
              <c:strCache>
                <c:ptCount val="1"/>
                <c:pt idx="0">
                  <c:v>Tetris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Line!$A$4:$A$34</c:f>
              <c:numCache>
                <c:formatCode>dd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Line!$C$4:$C$34</c:f>
              <c:numCache>
                <c:formatCode>General</c:formatCode>
                <c:ptCount val="31"/>
                <c:pt idx="0">
                  <c:v>5057</c:v>
                </c:pt>
                <c:pt idx="1">
                  <c:v>5303</c:v>
                </c:pt>
                <c:pt idx="2">
                  <c:v>5355</c:v>
                </c:pt>
                <c:pt idx="3">
                  <c:v>5765</c:v>
                </c:pt>
                <c:pt idx="4">
                  <c:v>5870</c:v>
                </c:pt>
                <c:pt idx="5">
                  <c:v>5708</c:v>
                </c:pt>
                <c:pt idx="6">
                  <c:v>5005</c:v>
                </c:pt>
                <c:pt idx="7">
                  <c:v>5394</c:v>
                </c:pt>
                <c:pt idx="8">
                  <c:v>5118</c:v>
                </c:pt>
                <c:pt idx="9">
                  <c:v>5269</c:v>
                </c:pt>
                <c:pt idx="10">
                  <c:v>5459</c:v>
                </c:pt>
                <c:pt idx="11">
                  <c:v>5695</c:v>
                </c:pt>
                <c:pt idx="12">
                  <c:v>5191</c:v>
                </c:pt>
                <c:pt idx="13">
                  <c:v>5198</c:v>
                </c:pt>
                <c:pt idx="14">
                  <c:v>5365</c:v>
                </c:pt>
                <c:pt idx="15">
                  <c:v>5298</c:v>
                </c:pt>
                <c:pt idx="16">
                  <c:v>5170</c:v>
                </c:pt>
                <c:pt idx="17">
                  <c:v>5613</c:v>
                </c:pt>
                <c:pt idx="18">
                  <c:v>5094</c:v>
                </c:pt>
                <c:pt idx="19">
                  <c:v>5250</c:v>
                </c:pt>
                <c:pt idx="20">
                  <c:v>5183</c:v>
                </c:pt>
                <c:pt idx="21">
                  <c:v>5722</c:v>
                </c:pt>
                <c:pt idx="22">
                  <c:v>5795</c:v>
                </c:pt>
                <c:pt idx="23">
                  <c:v>5825</c:v>
                </c:pt>
                <c:pt idx="24">
                  <c:v>5017</c:v>
                </c:pt>
                <c:pt idx="25">
                  <c:v>5467</c:v>
                </c:pt>
                <c:pt idx="26">
                  <c:v>5632</c:v>
                </c:pt>
                <c:pt idx="27">
                  <c:v>5212</c:v>
                </c:pt>
                <c:pt idx="28">
                  <c:v>5497</c:v>
                </c:pt>
                <c:pt idx="29">
                  <c:v>5799</c:v>
                </c:pt>
                <c:pt idx="30">
                  <c:v>5643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2E-3442-93E5-DAC19AA44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5504207"/>
        <c:axId val="1040889503"/>
      </c:lineChart>
      <c:dateAx>
        <c:axId val="705504207"/>
        <c:scaling>
          <c:orientation val="minMax"/>
        </c:scaling>
        <c:delete val="0"/>
        <c:axPos val="b"/>
        <c:numFmt formatCode="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889503"/>
        <c:crosses val="autoZero"/>
        <c:auto val="1"/>
        <c:lblOffset val="100"/>
        <c:baseTimeUnit val="days"/>
      </c:dateAx>
      <c:valAx>
        <c:axId val="104088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0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Line!$B$1:$B$3</c:f>
              <c:strCache>
                <c:ptCount val="3"/>
                <c:pt idx="0">
                  <c:v>Jan Sales - 2022</c:v>
                </c:pt>
                <c:pt idx="1">
                  <c:v>Publishers</c:v>
                </c:pt>
                <c:pt idx="2">
                  <c:v>Nintendo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Line!$A$4:$A$34</c:f>
              <c:numCache>
                <c:formatCode>dd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Line!$B$4:$B$34</c:f>
              <c:numCache>
                <c:formatCode>General</c:formatCode>
                <c:ptCount val="31"/>
                <c:pt idx="0">
                  <c:v>5400</c:v>
                </c:pt>
                <c:pt idx="1">
                  <c:v>5733</c:v>
                </c:pt>
                <c:pt idx="2">
                  <c:v>5434</c:v>
                </c:pt>
                <c:pt idx="3">
                  <c:v>5764</c:v>
                </c:pt>
                <c:pt idx="4">
                  <c:v>5223</c:v>
                </c:pt>
                <c:pt idx="5">
                  <c:v>5627</c:v>
                </c:pt>
                <c:pt idx="6">
                  <c:v>5668</c:v>
                </c:pt>
                <c:pt idx="7">
                  <c:v>5080</c:v>
                </c:pt>
                <c:pt idx="8">
                  <c:v>5056</c:v>
                </c:pt>
                <c:pt idx="9">
                  <c:v>5283</c:v>
                </c:pt>
                <c:pt idx="10">
                  <c:v>5639</c:v>
                </c:pt>
                <c:pt idx="11">
                  <c:v>5772</c:v>
                </c:pt>
                <c:pt idx="12">
                  <c:v>5112</c:v>
                </c:pt>
                <c:pt idx="13">
                  <c:v>5875</c:v>
                </c:pt>
                <c:pt idx="14">
                  <c:v>5623</c:v>
                </c:pt>
                <c:pt idx="15">
                  <c:v>5175</c:v>
                </c:pt>
                <c:pt idx="16">
                  <c:v>5751</c:v>
                </c:pt>
                <c:pt idx="17">
                  <c:v>5777</c:v>
                </c:pt>
                <c:pt idx="18">
                  <c:v>5429</c:v>
                </c:pt>
                <c:pt idx="19">
                  <c:v>5300</c:v>
                </c:pt>
                <c:pt idx="20">
                  <c:v>5771</c:v>
                </c:pt>
                <c:pt idx="21">
                  <c:v>5310</c:v>
                </c:pt>
                <c:pt idx="22">
                  <c:v>5339</c:v>
                </c:pt>
                <c:pt idx="23">
                  <c:v>5248</c:v>
                </c:pt>
                <c:pt idx="24">
                  <c:v>5005</c:v>
                </c:pt>
                <c:pt idx="25">
                  <c:v>5646</c:v>
                </c:pt>
                <c:pt idx="26">
                  <c:v>5457</c:v>
                </c:pt>
                <c:pt idx="27">
                  <c:v>5429</c:v>
                </c:pt>
                <c:pt idx="28">
                  <c:v>5547</c:v>
                </c:pt>
                <c:pt idx="29">
                  <c:v>5435</c:v>
                </c:pt>
                <c:pt idx="30">
                  <c:v>5304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A-4616-AED5-3A1FB02F4903}"/>
            </c:ext>
          </c:extLst>
        </c:ser>
        <c:ser>
          <c:idx val="1"/>
          <c:order val="1"/>
          <c:tx>
            <c:strRef>
              <c:f>Line!$C$1:$C$3</c:f>
              <c:strCache>
                <c:ptCount val="3"/>
                <c:pt idx="0">
                  <c:v>Jan Sales - 2022</c:v>
                </c:pt>
                <c:pt idx="1">
                  <c:v>Publishers</c:v>
                </c:pt>
                <c:pt idx="2">
                  <c:v>Tetris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Line!$A$4:$A$34</c:f>
              <c:numCache>
                <c:formatCode>dd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Line!$C$4:$C$34</c:f>
              <c:numCache>
                <c:formatCode>General</c:formatCode>
                <c:ptCount val="31"/>
                <c:pt idx="0">
                  <c:v>5057</c:v>
                </c:pt>
                <c:pt idx="1">
                  <c:v>5303</c:v>
                </c:pt>
                <c:pt idx="2">
                  <c:v>5355</c:v>
                </c:pt>
                <c:pt idx="3">
                  <c:v>5765</c:v>
                </c:pt>
                <c:pt idx="4">
                  <c:v>5870</c:v>
                </c:pt>
                <c:pt idx="5">
                  <c:v>5708</c:v>
                </c:pt>
                <c:pt idx="6">
                  <c:v>5005</c:v>
                </c:pt>
                <c:pt idx="7">
                  <c:v>5394</c:v>
                </c:pt>
                <c:pt idx="8">
                  <c:v>5118</c:v>
                </c:pt>
                <c:pt idx="9">
                  <c:v>5269</c:v>
                </c:pt>
                <c:pt idx="10">
                  <c:v>5459</c:v>
                </c:pt>
                <c:pt idx="11">
                  <c:v>5695</c:v>
                </c:pt>
                <c:pt idx="12">
                  <c:v>5191</c:v>
                </c:pt>
                <c:pt idx="13">
                  <c:v>5198</c:v>
                </c:pt>
                <c:pt idx="14">
                  <c:v>5365</c:v>
                </c:pt>
                <c:pt idx="15">
                  <c:v>5298</c:v>
                </c:pt>
                <c:pt idx="16">
                  <c:v>5170</c:v>
                </c:pt>
                <c:pt idx="17">
                  <c:v>5613</c:v>
                </c:pt>
                <c:pt idx="18">
                  <c:v>5094</c:v>
                </c:pt>
                <c:pt idx="19">
                  <c:v>5250</c:v>
                </c:pt>
                <c:pt idx="20">
                  <c:v>5183</c:v>
                </c:pt>
                <c:pt idx="21">
                  <c:v>5722</c:v>
                </c:pt>
                <c:pt idx="22">
                  <c:v>5795</c:v>
                </c:pt>
                <c:pt idx="23">
                  <c:v>5825</c:v>
                </c:pt>
                <c:pt idx="24">
                  <c:v>5017</c:v>
                </c:pt>
                <c:pt idx="25">
                  <c:v>5467</c:v>
                </c:pt>
                <c:pt idx="26">
                  <c:v>5632</c:v>
                </c:pt>
                <c:pt idx="27">
                  <c:v>5212</c:v>
                </c:pt>
                <c:pt idx="28">
                  <c:v>5497</c:v>
                </c:pt>
                <c:pt idx="29">
                  <c:v>5799</c:v>
                </c:pt>
                <c:pt idx="30">
                  <c:v>5643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7A-4616-AED5-3A1FB02F49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10325360"/>
        <c:axId val="1710319120"/>
      </c:lineChart>
      <c:dateAx>
        <c:axId val="1710325360"/>
        <c:scaling>
          <c:orientation val="minMax"/>
        </c:scaling>
        <c:delete val="0"/>
        <c:axPos val="b"/>
        <c:numFmt formatCode="dd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19120"/>
        <c:crosses val="autoZero"/>
        <c:auto val="1"/>
        <c:lblOffset val="100"/>
        <c:baseTimeUnit val="days"/>
      </c:dateAx>
      <c:valAx>
        <c:axId val="171031912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50000"/>
                </a:schemeClr>
              </a:solidFill>
              <a:prstDash val="solid"/>
              <a:miter lim="800000"/>
              <a:headEnd type="none" w="med" len="med"/>
              <a:tailEnd type="none" w="med" len="med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25360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Trendlines!$A$3</c:f>
          <c:strCache>
            <c:ptCount val="1"/>
            <c:pt idx="0">
              <c:v>Some Animal Population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Trendlines!$B$4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exp"/>
            <c:dispRSqr val="0"/>
            <c:dispEq val="0"/>
          </c:trendline>
          <c:val>
            <c:numRef>
              <c:f>Trendlines!$B$5:$B$12</c:f>
              <c:numCache>
                <c:formatCode>General</c:formatCode>
                <c:ptCount val="8"/>
                <c:pt idx="0">
                  <c:v>1000</c:v>
                </c:pt>
                <c:pt idx="1">
                  <c:v>500</c:v>
                </c:pt>
                <c:pt idx="2">
                  <c:v>250</c:v>
                </c:pt>
                <c:pt idx="3">
                  <c:v>125</c:v>
                </c:pt>
                <c:pt idx="4">
                  <c:v>62.5</c:v>
                </c:pt>
                <c:pt idx="5">
                  <c:v>31.25</c:v>
                </c:pt>
                <c:pt idx="6">
                  <c:v>15.625</c:v>
                </c:pt>
                <c:pt idx="7">
                  <c:v>7.8125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E9-8845-9919-E3DAC54ED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5170992"/>
        <c:axId val="1095169192"/>
      </c:barChart>
      <c:catAx>
        <c:axId val="1095170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69192"/>
        <c:crosses val="autoZero"/>
        <c:auto val="1"/>
        <c:lblAlgn val="ctr"/>
        <c:lblOffset val="100"/>
        <c:noMultiLvlLbl val="0"/>
      </c:catAx>
      <c:valAx>
        <c:axId val="1095169192"/>
        <c:scaling>
          <c:orientation val="minMax"/>
          <c:max val="11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7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Trendlines!$A$22</c:f>
          <c:strCache>
            <c:ptCount val="1"/>
            <c:pt idx="0">
              <c:v>Engine Part Supply + Shortfall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Trendlines!$B$23</c:f>
              <c:strCache>
                <c:ptCount val="1"/>
                <c:pt idx="0">
                  <c:v>Supply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bg1"/>
                </a:solidFill>
              </a:ln>
              <a:effectLst/>
            </c:spPr>
            <c:trendlineType val="log"/>
            <c:dispRSqr val="0"/>
            <c:dispEq val="0"/>
          </c:trendline>
          <c:val>
            <c:numRef>
              <c:f>Trendlines!$B$24:$B$31</c:f>
              <c:numCache>
                <c:formatCode>General</c:formatCode>
                <c:ptCount val="8"/>
                <c:pt idx="0">
                  <c:v>1000</c:v>
                </c:pt>
                <c:pt idx="1">
                  <c:v>500</c:v>
                </c:pt>
                <c:pt idx="2">
                  <c:v>250</c:v>
                </c:pt>
                <c:pt idx="3">
                  <c:v>125</c:v>
                </c:pt>
                <c:pt idx="4">
                  <c:v>62.5</c:v>
                </c:pt>
                <c:pt idx="5">
                  <c:v>-15</c:v>
                </c:pt>
                <c:pt idx="6">
                  <c:v>-100</c:v>
                </c:pt>
                <c:pt idx="7">
                  <c:v>-300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72-7E48-AEB0-03AE6217E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5170992"/>
        <c:axId val="1095169192"/>
      </c:barChart>
      <c:catAx>
        <c:axId val="1095170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69192"/>
        <c:crosses val="autoZero"/>
        <c:auto val="1"/>
        <c:lblAlgn val="ctr"/>
        <c:lblOffset val="100"/>
        <c:noMultiLvlLbl val="0"/>
      </c:catAx>
      <c:valAx>
        <c:axId val="1095169192"/>
        <c:scaling>
          <c:orientation val="minMax"/>
          <c:max val="1100"/>
          <c:min val="-35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7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Trendlines!$A$22</c:f>
          <c:strCache>
            <c:ptCount val="1"/>
            <c:pt idx="0">
              <c:v>Engine Part Supply + Shortfall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Trendlines!$B$40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28575" cap="rnd">
                <a:solidFill>
                  <a:schemeClr val="bg1"/>
                </a:solidFill>
                <a:prstDash val="sysDash"/>
              </a:ln>
              <a:effectLst/>
            </c:spPr>
            <c:trendlineType val="poly"/>
            <c:order val="3"/>
            <c:dispRSqr val="1"/>
            <c:dispEq val="0"/>
            <c:trendlineLbl>
              <c:layout>
                <c:manualLayout>
                  <c:x val="5.2027683042429142E-2"/>
                  <c:y val="-0.169354768153980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Trendlines!$A$41:$A$48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Trendlines!$B$41:$B$48</c:f>
              <c:numCache>
                <c:formatCode>General</c:formatCode>
                <c:ptCount val="8"/>
                <c:pt idx="0">
                  <c:v>1000</c:v>
                </c:pt>
                <c:pt idx="1">
                  <c:v>1500</c:v>
                </c:pt>
                <c:pt idx="2">
                  <c:v>3320</c:v>
                </c:pt>
                <c:pt idx="3">
                  <c:v>5300</c:v>
                </c:pt>
                <c:pt idx="4">
                  <c:v>5800</c:v>
                </c:pt>
                <c:pt idx="5">
                  <c:v>3200</c:v>
                </c:pt>
                <c:pt idx="6">
                  <c:v>1000</c:v>
                </c:pt>
                <c:pt idx="7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5C-DF4F-B1D2-39894E096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5170992"/>
        <c:axId val="1095169192"/>
      </c:barChart>
      <c:catAx>
        <c:axId val="109517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69192"/>
        <c:crosses val="autoZero"/>
        <c:auto val="1"/>
        <c:lblAlgn val="ctr"/>
        <c:lblOffset val="100"/>
        <c:noMultiLvlLbl val="0"/>
      </c:catAx>
      <c:valAx>
        <c:axId val="1095169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7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Acceleration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Trendlines!$B$58</c:f>
              <c:strCache>
                <c:ptCount val="1"/>
                <c:pt idx="0">
                  <c:v>Meters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 cmpd="thickThin">
                <a:solidFill>
                  <a:srgbClr val="00B050"/>
                </a:solidFill>
                <a:prstDash val="lgDashDotDot"/>
              </a:ln>
              <a:effectLst/>
            </c:spPr>
            <c:trendlineType val="power"/>
            <c:dispRSqr val="0"/>
            <c:dispEq val="0"/>
          </c:trendline>
          <c:val>
            <c:numRef>
              <c:f>Trendlines!$B$59:$B$68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35</c:v>
                </c:pt>
                <c:pt idx="4">
                  <c:v>55</c:v>
                </c:pt>
                <c:pt idx="5">
                  <c:v>80</c:v>
                </c:pt>
                <c:pt idx="6">
                  <c:v>110</c:v>
                </c:pt>
                <c:pt idx="7">
                  <c:v>145</c:v>
                </c:pt>
                <c:pt idx="8">
                  <c:v>185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DB-2D4E-B904-7DF9A609B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5170992"/>
        <c:axId val="1095169192"/>
      </c:barChart>
      <c:catAx>
        <c:axId val="1095170992"/>
        <c:scaling>
          <c:orientation val="minMax"/>
        </c:scaling>
        <c:delete val="0"/>
        <c:axPos val="b"/>
        <c:title>
          <c:tx>
            <c:strRef>
              <c:f>Trendlines!$A$58</c:f>
              <c:strCache>
                <c:ptCount val="1"/>
                <c:pt idx="0">
                  <c:v>Seconds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69192"/>
        <c:crosses val="autoZero"/>
        <c:auto val="1"/>
        <c:lblAlgn val="ctr"/>
        <c:lblOffset val="100"/>
        <c:noMultiLvlLbl val="0"/>
      </c:catAx>
      <c:valAx>
        <c:axId val="1095169192"/>
        <c:scaling>
          <c:orientation val="minMax"/>
        </c:scaling>
        <c:delete val="0"/>
        <c:axPos val="l"/>
        <c:title>
          <c:tx>
            <c:strRef>
              <c:f>Trendlines!$B$58</c:f>
              <c:strCache>
                <c:ptCount val="1"/>
                <c:pt idx="0">
                  <c:v>Meters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7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Zomato Share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Trendlines!$B$76</c:f>
              <c:strCache>
                <c:ptCount val="1"/>
                <c:pt idx="0">
                  <c:v>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25400" cap="rnd" cmpd="thickThin">
                <a:solidFill>
                  <a:srgbClr val="00B050"/>
                </a:solidFill>
                <a:prstDash val="lgDashDot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Trendlines!$A$77:$A$97</c:f>
              <c:strCache>
                <c:ptCount val="21"/>
                <c:pt idx="0">
                  <c:v>Feb 15, 2023</c:v>
                </c:pt>
                <c:pt idx="1">
                  <c:v>Feb 16, 2023</c:v>
                </c:pt>
                <c:pt idx="2">
                  <c:v>Feb 17, 2023</c:v>
                </c:pt>
                <c:pt idx="3">
                  <c:v>Feb 20, 2023</c:v>
                </c:pt>
                <c:pt idx="4">
                  <c:v>Feb 21, 2023</c:v>
                </c:pt>
                <c:pt idx="5">
                  <c:v>Feb 22, 2023</c:v>
                </c:pt>
                <c:pt idx="6">
                  <c:v>Feb 23, 2023</c:v>
                </c:pt>
                <c:pt idx="7">
                  <c:v>Feb 24, 2023</c:v>
                </c:pt>
                <c:pt idx="8">
                  <c:v>Feb 27, 2023</c:v>
                </c:pt>
                <c:pt idx="9">
                  <c:v>Feb 28, 2023</c:v>
                </c:pt>
                <c:pt idx="10">
                  <c:v>Mar 01, 2023</c:v>
                </c:pt>
                <c:pt idx="11">
                  <c:v>Mar 02, 2023</c:v>
                </c:pt>
                <c:pt idx="12">
                  <c:v>Mar 03, 2023</c:v>
                </c:pt>
                <c:pt idx="13">
                  <c:v>Mar 06, 2023</c:v>
                </c:pt>
                <c:pt idx="14">
                  <c:v>Mar 08, 2023</c:v>
                </c:pt>
                <c:pt idx="15">
                  <c:v>Mar 09, 2023</c:v>
                </c:pt>
                <c:pt idx="16">
                  <c:v>Mar 10, 2023</c:v>
                </c:pt>
                <c:pt idx="17">
                  <c:v>Mar 13, 2023</c:v>
                </c:pt>
                <c:pt idx="18">
                  <c:v>Mar 14, 2023</c:v>
                </c:pt>
                <c:pt idx="19">
                  <c:v>Mar 15, 2023</c:v>
                </c:pt>
                <c:pt idx="20">
                  <c:v>Mar 16, 2023</c:v>
                </c:pt>
              </c:strCache>
            </c:strRef>
          </c:cat>
          <c:val>
            <c:numRef>
              <c:f>Trendlines!$B$77:$B$97</c:f>
              <c:numCache>
                <c:formatCode>General</c:formatCode>
                <c:ptCount val="21"/>
                <c:pt idx="0">
                  <c:v>50.25</c:v>
                </c:pt>
                <c:pt idx="1">
                  <c:v>51.4</c:v>
                </c:pt>
                <c:pt idx="2">
                  <c:v>51.8</c:v>
                </c:pt>
                <c:pt idx="3">
                  <c:v>54.6</c:v>
                </c:pt>
                <c:pt idx="4">
                  <c:v>55.35</c:v>
                </c:pt>
                <c:pt idx="5">
                  <c:v>52.95</c:v>
                </c:pt>
                <c:pt idx="6">
                  <c:v>54.95</c:v>
                </c:pt>
                <c:pt idx="7">
                  <c:v>54.45</c:v>
                </c:pt>
                <c:pt idx="8">
                  <c:v>53.6</c:v>
                </c:pt>
                <c:pt idx="9">
                  <c:v>53.5</c:v>
                </c:pt>
                <c:pt idx="10">
                  <c:v>54.95</c:v>
                </c:pt>
                <c:pt idx="11">
                  <c:v>54.55</c:v>
                </c:pt>
                <c:pt idx="12">
                  <c:v>53.65</c:v>
                </c:pt>
                <c:pt idx="13">
                  <c:v>53.95</c:v>
                </c:pt>
                <c:pt idx="14">
                  <c:v>54.8</c:v>
                </c:pt>
                <c:pt idx="15">
                  <c:v>54.05</c:v>
                </c:pt>
                <c:pt idx="16">
                  <c:v>53.85</c:v>
                </c:pt>
                <c:pt idx="17">
                  <c:v>51.9</c:v>
                </c:pt>
                <c:pt idx="18">
                  <c:v>50.75</c:v>
                </c:pt>
                <c:pt idx="19">
                  <c:v>50.75</c:v>
                </c:pt>
                <c:pt idx="20">
                  <c:v>52.9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59-BC40-AFFD-9EB50094A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5170992"/>
        <c:axId val="1095169192"/>
      </c:barChart>
      <c:dateAx>
        <c:axId val="1095170992"/>
        <c:scaling>
          <c:orientation val="minMax"/>
        </c:scaling>
        <c:delete val="0"/>
        <c:axPos val="b"/>
        <c:title>
          <c:tx>
            <c:strRef>
              <c:f>Trendlines!$A$76</c:f>
              <c:strCache>
                <c:ptCount val="1"/>
                <c:pt idx="0">
                  <c:v>Date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69192"/>
        <c:crosses val="autoZero"/>
        <c:auto val="0"/>
        <c:lblOffset val="100"/>
        <c:baseTimeUnit val="days"/>
      </c:dateAx>
      <c:valAx>
        <c:axId val="1095169192"/>
        <c:scaling>
          <c:orientation val="minMax"/>
        </c:scaling>
        <c:delete val="0"/>
        <c:axPos val="l"/>
        <c:title>
          <c:tx>
            <c:strRef>
              <c:f>Trendlines!$B$76</c:f>
              <c:strCache>
                <c:ptCount val="1"/>
                <c:pt idx="0">
                  <c:v>Price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7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7715</xdr:colOff>
      <xdr:row>1</xdr:row>
      <xdr:rowOff>34895</xdr:rowOff>
    </xdr:from>
    <xdr:to>
      <xdr:col>11</xdr:col>
      <xdr:colOff>415421</xdr:colOff>
      <xdr:row>17</xdr:row>
      <xdr:rowOff>41543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8364B4-6DDA-5707-2F08-3F893E436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1</xdr:row>
      <xdr:rowOff>38101</xdr:rowOff>
    </xdr:from>
    <xdr:to>
      <xdr:col>16</xdr:col>
      <xdr:colOff>161925</xdr:colOff>
      <xdr:row>20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D56CB8-0AF3-FF4A-8AC1-79C813655D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300037</xdr:colOff>
      <xdr:row>22</xdr:row>
      <xdr:rowOff>23812</xdr:rowOff>
    </xdr:from>
    <xdr:to>
      <xdr:col>11</xdr:col>
      <xdr:colOff>604837</xdr:colOff>
      <xdr:row>36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1A75DE-97EF-7147-A800-966B6913F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542926</xdr:colOff>
      <xdr:row>26</xdr:row>
      <xdr:rowOff>180976</xdr:rowOff>
    </xdr:from>
    <xdr:to>
      <xdr:col>14</xdr:col>
      <xdr:colOff>3176</xdr:colOff>
      <xdr:row>31</xdr:row>
      <xdr:rowOff>161926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80B03A-2683-A34D-8955-5D1D4744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8884808">
          <a:off x="9536643" y="5072592"/>
          <a:ext cx="912284" cy="814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19051</xdr:colOff>
      <xdr:row>25</xdr:row>
      <xdr:rowOff>57151</xdr:rowOff>
    </xdr:from>
    <xdr:to>
      <xdr:col>16</xdr:col>
      <xdr:colOff>314325</xdr:colOff>
      <xdr:row>34</xdr:row>
      <xdr:rowOff>47401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183375-94BE-2448-8070-A11E4DAA6A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00" r="69800" b="58400"/>
        <a:stretch/>
      </xdr:blipFill>
      <xdr:spPr bwMode="auto">
        <a:xfrm>
          <a:off x="11029951" y="4819651"/>
          <a:ext cx="1120774" cy="170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495300</xdr:colOff>
      <xdr:row>24</xdr:row>
      <xdr:rowOff>104774</xdr:rowOff>
    </xdr:from>
    <xdr:to>
      <xdr:col>20</xdr:col>
      <xdr:colOff>3175</xdr:colOff>
      <xdr:row>34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4C21F6-9916-5D4E-A8CA-936C23C482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00" t="26200" r="34600" b="33400"/>
        <a:stretch/>
      </xdr:blipFill>
      <xdr:spPr bwMode="auto">
        <a:xfrm>
          <a:off x="12852400" y="4676774"/>
          <a:ext cx="1895475" cy="1924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505556</xdr:colOff>
      <xdr:row>9</xdr:row>
      <xdr:rowOff>93785</xdr:rowOff>
    </xdr:from>
    <xdr:to>
      <xdr:col>23</xdr:col>
      <xdr:colOff>234461</xdr:colOff>
      <xdr:row>30</xdr:row>
      <xdr:rowOff>131885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08E873-170E-40F9-AAF5-737786D85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626240</xdr:colOff>
      <xdr:row>2</xdr:row>
      <xdr:rowOff>4233</xdr:rowOff>
    </xdr:from>
    <xdr:to>
      <xdr:col>13</xdr:col>
      <xdr:colOff>613103</xdr:colOff>
      <xdr:row>22</xdr:row>
      <xdr:rowOff>131379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09B770-558B-26D3-4E2E-D60807A05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155863</xdr:colOff>
      <xdr:row>2</xdr:row>
      <xdr:rowOff>155864</xdr:rowOff>
    </xdr:from>
    <xdr:to>
      <xdr:col>29</xdr:col>
      <xdr:colOff>398318</xdr:colOff>
      <xdr:row>25</xdr:row>
      <xdr:rowOff>159327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55C91-EA12-456A-A1AA-016467601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138112</xdr:colOff>
      <xdr:row>2</xdr:row>
      <xdr:rowOff>14287</xdr:rowOff>
    </xdr:from>
    <xdr:to>
      <xdr:col>14</xdr:col>
      <xdr:colOff>133350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29C983-5EF8-FC48-9A14-B977A409B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19</xdr:row>
      <xdr:rowOff>9525</xdr:rowOff>
    </xdr:from>
    <xdr:to>
      <xdr:col>14</xdr:col>
      <xdr:colOff>109538</xdr:colOff>
      <xdr:row>33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F0CE50-5E94-204C-9A06-31E456104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37</xdr:row>
      <xdr:rowOff>0</xdr:rowOff>
    </xdr:from>
    <xdr:to>
      <xdr:col>13</xdr:col>
      <xdr:colOff>604838</xdr:colOff>
      <xdr:row>52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9FC991-B522-7341-B402-462503D37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571500</xdr:colOff>
      <xdr:row>54</xdr:row>
      <xdr:rowOff>104775</xdr:rowOff>
    </xdr:from>
    <xdr:to>
      <xdr:col>13</xdr:col>
      <xdr:colOff>566738</xdr:colOff>
      <xdr:row>69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A9DDC2-D3E1-664E-84B9-6C839957A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397564</xdr:colOff>
      <xdr:row>77</xdr:row>
      <xdr:rowOff>41412</xdr:rowOff>
    </xdr:from>
    <xdr:to>
      <xdr:col>19</xdr:col>
      <xdr:colOff>33130</xdr:colOff>
      <xdr:row>91</xdr:row>
      <xdr:rowOff>117612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47A9B3-89B0-F64F-971A-0FE595227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rag/Downloads/Session%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omeWork"/>
    </sheetNames>
    <sheetDataSet>
      <sheetData sheetId="0">
        <row r="2">
          <cell r="B2" t="str">
            <v>Sales</v>
          </cell>
        </row>
        <row r="4">
          <cell r="B4">
            <v>242</v>
          </cell>
          <cell r="C4">
            <v>232</v>
          </cell>
          <cell r="D4">
            <v>256</v>
          </cell>
        </row>
        <row r="5">
          <cell r="B5">
            <v>231</v>
          </cell>
          <cell r="C5">
            <v>246</v>
          </cell>
          <cell r="D5">
            <v>260</v>
          </cell>
        </row>
        <row r="6">
          <cell r="B6">
            <v>254</v>
          </cell>
          <cell r="C6">
            <v>257</v>
          </cell>
          <cell r="D6">
            <v>255</v>
          </cell>
        </row>
        <row r="7">
          <cell r="B7">
            <v>236</v>
          </cell>
          <cell r="C7">
            <v>238</v>
          </cell>
          <cell r="D7">
            <v>256</v>
          </cell>
        </row>
        <row r="8">
          <cell r="B8">
            <v>226</v>
          </cell>
          <cell r="C8">
            <v>249</v>
          </cell>
          <cell r="D8">
            <v>242</v>
          </cell>
        </row>
        <row r="24">
          <cell r="B24">
            <v>242</v>
          </cell>
        </row>
        <row r="25">
          <cell r="B25">
            <v>245</v>
          </cell>
        </row>
        <row r="26">
          <cell r="B26">
            <v>243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F3E5-363A-4A67-A273-665729BD390A}">
  <sheetPr codeName="Sheet1"/>
  <dimension ref="A1:D17"/>
  <sheetViews>
    <sheetView zoomScale="117" workbookViewId="0">
      <selection activeCell="O8" sqref="O8"/>
    </sheetView>
  </sheetViews>
  <sheetFormatPr defaultColWidth="8.85546875" defaultRowHeight="15" x14ac:dyDescent="0.25"/>
  <cols>
    <col min="1" max="1" width="16.7109375" bestFit="1" customWidth="1"/>
    <col min="2" max="2" width="9.42578125" bestFit="1" customWidth="1"/>
    <col min="3" max="3" width="12.28515625" bestFit="1" customWidth="1"/>
  </cols>
  <sheetData>
    <row r="1" spans="1:4" x14ac:dyDescent="0.25">
      <c r="B1" t="s">
        <v>0</v>
      </c>
    </row>
    <row r="2" spans="1:4" x14ac:dyDescent="0.25">
      <c r="A2" t="s">
        <v>1</v>
      </c>
      <c r="B2" t="s">
        <v>2</v>
      </c>
      <c r="C2" t="s">
        <v>3</v>
      </c>
    </row>
    <row r="3" spans="1:4" x14ac:dyDescent="0.25">
      <c r="A3" t="s">
        <v>4</v>
      </c>
      <c r="B3">
        <v>242</v>
      </c>
      <c r="C3">
        <v>232</v>
      </c>
    </row>
    <row r="4" spans="1:4" x14ac:dyDescent="0.25">
      <c r="A4" t="s">
        <v>5</v>
      </c>
      <c r="B4">
        <v>231</v>
      </c>
      <c r="C4">
        <v>246</v>
      </c>
    </row>
    <row r="5" spans="1:4" x14ac:dyDescent="0.25">
      <c r="A5" t="s">
        <v>6</v>
      </c>
      <c r="B5">
        <v>254</v>
      </c>
      <c r="C5">
        <v>257</v>
      </c>
    </row>
    <row r="6" spans="1:4" x14ac:dyDescent="0.25">
      <c r="A6" t="s">
        <v>7</v>
      </c>
      <c r="B6">
        <v>236</v>
      </c>
      <c r="C6">
        <v>238</v>
      </c>
    </row>
    <row r="7" spans="1:4" x14ac:dyDescent="0.25">
      <c r="A7" t="s">
        <v>8</v>
      </c>
      <c r="B7">
        <v>226</v>
      </c>
      <c r="C7">
        <v>249</v>
      </c>
    </row>
    <row r="11" spans="1:4" x14ac:dyDescent="0.25">
      <c r="B11" t="s">
        <v>0</v>
      </c>
    </row>
    <row r="12" spans="1:4" x14ac:dyDescent="0.25">
      <c r="A12" t="s">
        <v>1</v>
      </c>
      <c r="B12" t="s">
        <v>2</v>
      </c>
      <c r="C12" t="s">
        <v>3</v>
      </c>
      <c r="D12" t="s">
        <v>9</v>
      </c>
    </row>
    <row r="13" spans="1:4" x14ac:dyDescent="0.25">
      <c r="A13" t="s">
        <v>4</v>
      </c>
      <c r="B13">
        <v>242</v>
      </c>
      <c r="C13">
        <v>232</v>
      </c>
      <c r="D13">
        <v>256</v>
      </c>
    </row>
    <row r="14" spans="1:4" x14ac:dyDescent="0.25">
      <c r="A14" t="s">
        <v>5</v>
      </c>
      <c r="B14">
        <v>231</v>
      </c>
      <c r="C14">
        <v>246</v>
      </c>
      <c r="D14">
        <v>260</v>
      </c>
    </row>
    <row r="15" spans="1:4" x14ac:dyDescent="0.25">
      <c r="A15" t="s">
        <v>6</v>
      </c>
      <c r="B15">
        <v>254</v>
      </c>
      <c r="C15">
        <v>257</v>
      </c>
      <c r="D15">
        <v>255</v>
      </c>
    </row>
    <row r="16" spans="1:4" x14ac:dyDescent="0.25">
      <c r="A16" t="s">
        <v>7</v>
      </c>
      <c r="B16">
        <v>236</v>
      </c>
      <c r="C16">
        <v>238</v>
      </c>
      <c r="D16">
        <v>256</v>
      </c>
    </row>
    <row r="17" spans="1:4" x14ac:dyDescent="0.25">
      <c r="A17" t="s">
        <v>8</v>
      </c>
      <c r="B17">
        <v>226</v>
      </c>
      <c r="C17">
        <v>249</v>
      </c>
      <c r="D17">
        <v>242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25E5-8A05-D54B-B89B-B466C6B469E0}">
  <sheetPr codeName="Sheet2"/>
  <dimension ref="A2:D26"/>
  <sheetViews>
    <sheetView zoomScale="75" workbookViewId="0">
      <selection activeCell="AC20" sqref="AC20"/>
    </sheetView>
  </sheetViews>
  <sheetFormatPr defaultColWidth="8.85546875" defaultRowHeight="15" x14ac:dyDescent="0.25"/>
  <cols>
    <col min="1" max="1" width="16.7109375" bestFit="1" customWidth="1"/>
    <col min="2" max="2" width="9.42578125" bestFit="1" customWidth="1"/>
    <col min="3" max="3" width="12.28515625" bestFit="1" customWidth="1"/>
  </cols>
  <sheetData>
    <row r="2" spans="1:4" x14ac:dyDescent="0.25">
      <c r="B2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9</v>
      </c>
    </row>
    <row r="4" spans="1:4" x14ac:dyDescent="0.25">
      <c r="A4" t="s">
        <v>4</v>
      </c>
      <c r="B4">
        <v>242</v>
      </c>
      <c r="C4">
        <v>232</v>
      </c>
      <c r="D4">
        <v>256</v>
      </c>
    </row>
    <row r="5" spans="1:4" x14ac:dyDescent="0.25">
      <c r="A5" t="s">
        <v>5</v>
      </c>
      <c r="B5">
        <v>231</v>
      </c>
      <c r="C5">
        <v>246</v>
      </c>
      <c r="D5">
        <v>260</v>
      </c>
    </row>
    <row r="6" spans="1:4" x14ac:dyDescent="0.25">
      <c r="A6" t="s">
        <v>6</v>
      </c>
      <c r="B6">
        <v>254</v>
      </c>
      <c r="C6">
        <v>257</v>
      </c>
      <c r="D6">
        <v>255</v>
      </c>
    </row>
    <row r="7" spans="1:4" x14ac:dyDescent="0.25">
      <c r="A7" t="s">
        <v>7</v>
      </c>
      <c r="B7">
        <v>236</v>
      </c>
      <c r="C7">
        <v>238</v>
      </c>
      <c r="D7">
        <v>256</v>
      </c>
    </row>
    <row r="8" spans="1:4" x14ac:dyDescent="0.25">
      <c r="A8" t="s">
        <v>8</v>
      </c>
      <c r="B8">
        <v>226</v>
      </c>
      <c r="C8">
        <v>249</v>
      </c>
      <c r="D8">
        <v>242</v>
      </c>
    </row>
    <row r="23" spans="1:2" x14ac:dyDescent="0.25">
      <c r="B23" t="s">
        <v>10</v>
      </c>
    </row>
    <row r="24" spans="1:2" x14ac:dyDescent="0.25">
      <c r="A24" t="s">
        <v>11</v>
      </c>
      <c r="B24">
        <v>242</v>
      </c>
    </row>
    <row r="25" spans="1:2" x14ac:dyDescent="0.25">
      <c r="A25" t="s">
        <v>12</v>
      </c>
      <c r="B25">
        <v>245</v>
      </c>
    </row>
    <row r="26" spans="1:2" x14ac:dyDescent="0.25">
      <c r="A26" t="s">
        <v>13</v>
      </c>
      <c r="B26">
        <v>243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6225-A026-4A40-8529-3697D09CF4FC}">
  <sheetPr codeName="Sheet3"/>
  <dimension ref="A2:N8"/>
  <sheetViews>
    <sheetView showGridLines="0" zoomScale="65" zoomScaleNormal="130" workbookViewId="0">
      <selection activeCell="C21" sqref="C21"/>
    </sheetView>
  </sheetViews>
  <sheetFormatPr defaultColWidth="9.140625" defaultRowHeight="15.75" x14ac:dyDescent="0.25"/>
  <cols>
    <col min="1" max="1" width="17.7109375" style="1" bestFit="1" customWidth="1"/>
    <col min="2" max="13" width="9.42578125" style="1" customWidth="1"/>
    <col min="14" max="15" width="10.140625" style="1" bestFit="1" customWidth="1"/>
    <col min="16" max="16384" width="9.140625" style="1"/>
  </cols>
  <sheetData>
    <row r="2" spans="1:14" x14ac:dyDescent="0.25">
      <c r="B2" s="7" t="s">
        <v>26</v>
      </c>
      <c r="C2" s="6"/>
    </row>
    <row r="3" spans="1:14" x14ac:dyDescent="0.25">
      <c r="A3" s="3" t="s">
        <v>1</v>
      </c>
      <c r="B3" s="5" t="s">
        <v>2</v>
      </c>
      <c r="C3" s="5" t="s">
        <v>3</v>
      </c>
      <c r="D3" s="5" t="s">
        <v>25</v>
      </c>
      <c r="E3" s="5" t="s">
        <v>24</v>
      </c>
      <c r="F3" s="5" t="s">
        <v>23</v>
      </c>
      <c r="G3" s="5" t="s">
        <v>22</v>
      </c>
      <c r="H3" s="5" t="s">
        <v>21</v>
      </c>
      <c r="I3" s="5" t="s">
        <v>20</v>
      </c>
      <c r="J3" s="5" t="s">
        <v>19</v>
      </c>
      <c r="K3" s="5" t="s">
        <v>18</v>
      </c>
      <c r="L3" s="5" t="s">
        <v>17</v>
      </c>
      <c r="M3" s="5" t="s">
        <v>16</v>
      </c>
      <c r="N3" s="3" t="s">
        <v>15</v>
      </c>
    </row>
    <row r="4" spans="1:14" x14ac:dyDescent="0.25">
      <c r="A4" s="4" t="s">
        <v>4</v>
      </c>
      <c r="B4" s="2">
        <v>65935</v>
      </c>
      <c r="C4" s="2">
        <v>71626</v>
      </c>
      <c r="D4" s="2">
        <v>60190</v>
      </c>
      <c r="E4" s="2">
        <v>63486</v>
      </c>
      <c r="F4" s="2">
        <v>68230</v>
      </c>
      <c r="G4" s="2">
        <v>66543</v>
      </c>
      <c r="H4" s="2">
        <v>60033</v>
      </c>
      <c r="I4" s="2">
        <v>66678</v>
      </c>
      <c r="J4" s="2">
        <v>69778</v>
      </c>
      <c r="K4" s="2">
        <v>62943</v>
      </c>
      <c r="L4" s="2">
        <v>62479</v>
      </c>
      <c r="M4" s="2">
        <v>65506</v>
      </c>
      <c r="N4" s="2">
        <f>SUM(B4:M4)</f>
        <v>783427</v>
      </c>
    </row>
    <row r="5" spans="1:14" x14ac:dyDescent="0.25">
      <c r="A5" s="4" t="s">
        <v>6</v>
      </c>
      <c r="B5" s="2">
        <v>72588</v>
      </c>
      <c r="C5" s="2">
        <v>73998</v>
      </c>
      <c r="D5" s="2">
        <v>60871</v>
      </c>
      <c r="E5" s="2">
        <v>68991</v>
      </c>
      <c r="F5" s="2">
        <v>67690</v>
      </c>
      <c r="G5" s="2">
        <v>71043</v>
      </c>
      <c r="H5" s="2">
        <v>69199</v>
      </c>
      <c r="I5" s="2">
        <v>62653</v>
      </c>
      <c r="J5" s="2">
        <v>61314</v>
      </c>
      <c r="K5" s="2">
        <v>64443</v>
      </c>
      <c r="L5" s="2">
        <v>70994</v>
      </c>
      <c r="M5" s="2">
        <v>71318</v>
      </c>
      <c r="N5" s="2">
        <f>SUM(B5:M5)</f>
        <v>815102</v>
      </c>
    </row>
    <row r="6" spans="1:14" x14ac:dyDescent="0.25">
      <c r="A6" s="4" t="s">
        <v>7</v>
      </c>
      <c r="B6" s="2">
        <v>72469</v>
      </c>
      <c r="C6" s="2">
        <v>67091</v>
      </c>
      <c r="D6" s="2">
        <v>69251</v>
      </c>
      <c r="E6" s="2">
        <v>74970</v>
      </c>
      <c r="F6" s="2">
        <v>72367</v>
      </c>
      <c r="G6" s="2">
        <v>73061</v>
      </c>
      <c r="H6" s="2">
        <v>65210</v>
      </c>
      <c r="I6" s="2">
        <v>74305</v>
      </c>
      <c r="J6" s="2">
        <v>61614</v>
      </c>
      <c r="K6" s="2">
        <v>68414</v>
      </c>
      <c r="L6" s="2">
        <v>68707</v>
      </c>
      <c r="M6" s="2">
        <v>72506</v>
      </c>
      <c r="N6" s="2">
        <f>SUM(B6:M6)</f>
        <v>839965</v>
      </c>
    </row>
    <row r="7" spans="1:14" x14ac:dyDescent="0.25">
      <c r="A7" s="4" t="s">
        <v>8</v>
      </c>
      <c r="B7" s="2">
        <v>66693</v>
      </c>
      <c r="C7" s="2">
        <v>73808</v>
      </c>
      <c r="D7" s="2">
        <v>72831</v>
      </c>
      <c r="E7" s="2">
        <v>71978</v>
      </c>
      <c r="F7" s="2">
        <v>70076</v>
      </c>
      <c r="G7" s="2">
        <v>73257</v>
      </c>
      <c r="H7" s="2">
        <v>63108</v>
      </c>
      <c r="I7" s="2">
        <v>60860</v>
      </c>
      <c r="J7" s="2">
        <v>70193</v>
      </c>
      <c r="K7" s="2">
        <v>64483</v>
      </c>
      <c r="L7" s="2">
        <v>73427</v>
      </c>
      <c r="M7" s="2">
        <v>66581</v>
      </c>
      <c r="N7" s="2">
        <f>SUM(B7:M7)</f>
        <v>827295</v>
      </c>
    </row>
    <row r="8" spans="1:14" x14ac:dyDescent="0.25">
      <c r="A8" s="3" t="s">
        <v>14</v>
      </c>
      <c r="B8" s="2">
        <f t="shared" ref="B8:N8" si="0">SUM(B4:B7)</f>
        <v>277685</v>
      </c>
      <c r="C8" s="2">
        <f t="shared" si="0"/>
        <v>286523</v>
      </c>
      <c r="D8" s="2">
        <f t="shared" si="0"/>
        <v>263143</v>
      </c>
      <c r="E8" s="2">
        <f t="shared" si="0"/>
        <v>279425</v>
      </c>
      <c r="F8" s="2">
        <f t="shared" si="0"/>
        <v>278363</v>
      </c>
      <c r="G8" s="2">
        <f t="shared" si="0"/>
        <v>283904</v>
      </c>
      <c r="H8" s="2">
        <f t="shared" si="0"/>
        <v>257550</v>
      </c>
      <c r="I8" s="2">
        <f t="shared" si="0"/>
        <v>264496</v>
      </c>
      <c r="J8" s="2">
        <f t="shared" si="0"/>
        <v>262899</v>
      </c>
      <c r="K8" s="2">
        <f t="shared" si="0"/>
        <v>260283</v>
      </c>
      <c r="L8" s="2">
        <f t="shared" si="0"/>
        <v>275607</v>
      </c>
      <c r="M8" s="2">
        <f t="shared" si="0"/>
        <v>275911</v>
      </c>
      <c r="N8" s="2">
        <f t="shared" si="0"/>
        <v>3265789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54C6-2E2A-5145-8A43-D8D92061A478}">
  <sheetPr codeName="Sheet5"/>
  <dimension ref="A1:H34"/>
  <sheetViews>
    <sheetView zoomScale="55" zoomScaleNormal="55" workbookViewId="0">
      <selection activeCell="AG16" sqref="AG16"/>
    </sheetView>
  </sheetViews>
  <sheetFormatPr defaultColWidth="8.85546875" defaultRowHeight="15" x14ac:dyDescent="0.25"/>
  <cols>
    <col min="1" max="1" width="8.140625" customWidth="1"/>
    <col min="2" max="2" width="10.7109375" customWidth="1"/>
    <col min="3" max="3" width="10.140625" customWidth="1"/>
  </cols>
  <sheetData>
    <row r="1" spans="1:8" s="1" customFormat="1" ht="15.75" x14ac:dyDescent="0.25">
      <c r="A1" s="7" t="s">
        <v>29</v>
      </c>
      <c r="B1" s="11"/>
      <c r="C1" s="10"/>
      <c r="E1"/>
      <c r="F1"/>
      <c r="G1"/>
      <c r="H1"/>
    </row>
    <row r="2" spans="1:8" s="1" customFormat="1" ht="15.75" x14ac:dyDescent="0.25">
      <c r="B2" s="15" t="s">
        <v>28</v>
      </c>
      <c r="C2" s="16"/>
      <c r="E2"/>
      <c r="F2"/>
      <c r="G2"/>
      <c r="H2"/>
    </row>
    <row r="3" spans="1:8" s="1" customFormat="1" ht="15.75" x14ac:dyDescent="0.25">
      <c r="A3" s="3" t="s">
        <v>27</v>
      </c>
      <c r="B3" s="4" t="s">
        <v>4</v>
      </c>
      <c r="C3" s="4" t="s">
        <v>6</v>
      </c>
      <c r="E3"/>
      <c r="F3"/>
      <c r="G3"/>
      <c r="H3" t="s">
        <v>69</v>
      </c>
    </row>
    <row r="4" spans="1:8" ht="15.75" x14ac:dyDescent="0.25">
      <c r="A4" s="9">
        <v>44562</v>
      </c>
      <c r="B4" s="8">
        <v>5400</v>
      </c>
      <c r="C4" s="8">
        <v>5057</v>
      </c>
    </row>
    <row r="5" spans="1:8" ht="15.75" x14ac:dyDescent="0.25">
      <c r="A5" s="9">
        <v>44563</v>
      </c>
      <c r="B5" s="8">
        <v>5733</v>
      </c>
      <c r="C5" s="8">
        <v>5303</v>
      </c>
    </row>
    <row r="6" spans="1:8" ht="15.75" x14ac:dyDescent="0.25">
      <c r="A6" s="9">
        <v>44564</v>
      </c>
      <c r="B6" s="8">
        <v>5434</v>
      </c>
      <c r="C6" s="8">
        <v>5355</v>
      </c>
    </row>
    <row r="7" spans="1:8" ht="15.75" x14ac:dyDescent="0.25">
      <c r="A7" s="9">
        <v>44565</v>
      </c>
      <c r="B7" s="8">
        <v>5764</v>
      </c>
      <c r="C7" s="8">
        <v>5765</v>
      </c>
    </row>
    <row r="8" spans="1:8" ht="15.75" x14ac:dyDescent="0.25">
      <c r="A8" s="9">
        <v>44566</v>
      </c>
      <c r="B8" s="8">
        <v>5223</v>
      </c>
      <c r="C8" s="8">
        <v>5870</v>
      </c>
    </row>
    <row r="9" spans="1:8" ht="15.75" x14ac:dyDescent="0.25">
      <c r="A9" s="9">
        <v>44567</v>
      </c>
      <c r="B9" s="8">
        <v>5627</v>
      </c>
      <c r="C9" s="8">
        <v>5708</v>
      </c>
    </row>
    <row r="10" spans="1:8" ht="15.75" x14ac:dyDescent="0.25">
      <c r="A10" s="9">
        <v>44568</v>
      </c>
      <c r="B10" s="8">
        <v>5668</v>
      </c>
      <c r="C10" s="8">
        <v>5005</v>
      </c>
    </row>
    <row r="11" spans="1:8" ht="15.75" x14ac:dyDescent="0.25">
      <c r="A11" s="9">
        <v>44569</v>
      </c>
      <c r="B11" s="8">
        <v>5080</v>
      </c>
      <c r="C11" s="8">
        <v>5394</v>
      </c>
    </row>
    <row r="12" spans="1:8" ht="15.75" x14ac:dyDescent="0.25">
      <c r="A12" s="9">
        <v>44570</v>
      </c>
      <c r="B12" s="8">
        <v>5056</v>
      </c>
      <c r="C12" s="8">
        <v>5118</v>
      </c>
    </row>
    <row r="13" spans="1:8" ht="15.75" x14ac:dyDescent="0.25">
      <c r="A13" s="9">
        <v>44571</v>
      </c>
      <c r="B13" s="8">
        <v>5283</v>
      </c>
      <c r="C13" s="8">
        <v>5269</v>
      </c>
    </row>
    <row r="14" spans="1:8" ht="15.75" x14ac:dyDescent="0.25">
      <c r="A14" s="9">
        <v>44572</v>
      </c>
      <c r="B14" s="8">
        <v>5639</v>
      </c>
      <c r="C14" s="8">
        <v>5459</v>
      </c>
    </row>
    <row r="15" spans="1:8" ht="15.75" x14ac:dyDescent="0.25">
      <c r="A15" s="9">
        <v>44573</v>
      </c>
      <c r="B15" s="8">
        <v>5772</v>
      </c>
      <c r="C15" s="8">
        <v>5695</v>
      </c>
    </row>
    <row r="16" spans="1:8" ht="15.75" x14ac:dyDescent="0.25">
      <c r="A16" s="9">
        <v>44574</v>
      </c>
      <c r="B16" s="8">
        <v>5112</v>
      </c>
      <c r="C16" s="8">
        <v>5191</v>
      </c>
    </row>
    <row r="17" spans="1:3" ht="15.75" x14ac:dyDescent="0.25">
      <c r="A17" s="9">
        <v>44575</v>
      </c>
      <c r="B17" s="8">
        <v>5875</v>
      </c>
      <c r="C17" s="8">
        <v>5198</v>
      </c>
    </row>
    <row r="18" spans="1:3" ht="15.75" x14ac:dyDescent="0.25">
      <c r="A18" s="9">
        <v>44576</v>
      </c>
      <c r="B18" s="8">
        <v>5623</v>
      </c>
      <c r="C18" s="8">
        <v>5365</v>
      </c>
    </row>
    <row r="19" spans="1:3" ht="15.75" x14ac:dyDescent="0.25">
      <c r="A19" s="9">
        <v>44577</v>
      </c>
      <c r="B19" s="8">
        <v>5175</v>
      </c>
      <c r="C19" s="8">
        <v>5298</v>
      </c>
    </row>
    <row r="20" spans="1:3" ht="15.75" x14ac:dyDescent="0.25">
      <c r="A20" s="9">
        <v>44578</v>
      </c>
      <c r="B20" s="8">
        <v>5751</v>
      </c>
      <c r="C20" s="8">
        <v>5170</v>
      </c>
    </row>
    <row r="21" spans="1:3" ht="15.75" x14ac:dyDescent="0.25">
      <c r="A21" s="9">
        <v>44579</v>
      </c>
      <c r="B21" s="8">
        <v>5777</v>
      </c>
      <c r="C21" s="8">
        <v>5613</v>
      </c>
    </row>
    <row r="22" spans="1:3" ht="15.75" x14ac:dyDescent="0.25">
      <c r="A22" s="9">
        <v>44580</v>
      </c>
      <c r="B22" s="8">
        <v>5429</v>
      </c>
      <c r="C22" s="8">
        <v>5094</v>
      </c>
    </row>
    <row r="23" spans="1:3" ht="15.75" x14ac:dyDescent="0.25">
      <c r="A23" s="9">
        <v>44581</v>
      </c>
      <c r="B23" s="8">
        <v>5300</v>
      </c>
      <c r="C23" s="8">
        <v>5250</v>
      </c>
    </row>
    <row r="24" spans="1:3" ht="15.75" x14ac:dyDescent="0.25">
      <c r="A24" s="9">
        <v>44582</v>
      </c>
      <c r="B24" s="8">
        <v>5771</v>
      </c>
      <c r="C24" s="8">
        <v>5183</v>
      </c>
    </row>
    <row r="25" spans="1:3" ht="15.75" x14ac:dyDescent="0.25">
      <c r="A25" s="9">
        <v>44583</v>
      </c>
      <c r="B25" s="8">
        <v>5310</v>
      </c>
      <c r="C25" s="8">
        <v>5722</v>
      </c>
    </row>
    <row r="26" spans="1:3" ht="15.75" x14ac:dyDescent="0.25">
      <c r="A26" s="9">
        <v>44584</v>
      </c>
      <c r="B26" s="8">
        <v>5339</v>
      </c>
      <c r="C26" s="8">
        <v>5795</v>
      </c>
    </row>
    <row r="27" spans="1:3" ht="15.75" x14ac:dyDescent="0.25">
      <c r="A27" s="9">
        <v>44585</v>
      </c>
      <c r="B27" s="8">
        <v>5248</v>
      </c>
      <c r="C27" s="8">
        <v>5825</v>
      </c>
    </row>
    <row r="28" spans="1:3" ht="15.75" x14ac:dyDescent="0.25">
      <c r="A28" s="9">
        <v>44586</v>
      </c>
      <c r="B28" s="8">
        <v>5005</v>
      </c>
      <c r="C28" s="8">
        <v>5017</v>
      </c>
    </row>
    <row r="29" spans="1:3" ht="15.75" x14ac:dyDescent="0.25">
      <c r="A29" s="9">
        <v>44587</v>
      </c>
      <c r="B29" s="8">
        <v>5646</v>
      </c>
      <c r="C29" s="8">
        <v>5467</v>
      </c>
    </row>
    <row r="30" spans="1:3" ht="15.75" x14ac:dyDescent="0.25">
      <c r="A30" s="9">
        <v>44588</v>
      </c>
      <c r="B30" s="8">
        <v>5457</v>
      </c>
      <c r="C30" s="8">
        <v>5632</v>
      </c>
    </row>
    <row r="31" spans="1:3" ht="15.75" x14ac:dyDescent="0.25">
      <c r="A31" s="9">
        <v>44589</v>
      </c>
      <c r="B31" s="8">
        <v>5429</v>
      </c>
      <c r="C31" s="8">
        <v>5212</v>
      </c>
    </row>
    <row r="32" spans="1:3" ht="15.75" x14ac:dyDescent="0.25">
      <c r="A32" s="9">
        <v>44590</v>
      </c>
      <c r="B32" s="8">
        <v>5547</v>
      </c>
      <c r="C32" s="8">
        <v>5497</v>
      </c>
    </row>
    <row r="33" spans="1:3" ht="15.75" x14ac:dyDescent="0.25">
      <c r="A33" s="9">
        <v>44591</v>
      </c>
      <c r="B33" s="8">
        <v>5435</v>
      </c>
      <c r="C33" s="8">
        <v>5799</v>
      </c>
    </row>
    <row r="34" spans="1:3" ht="15.75" x14ac:dyDescent="0.25">
      <c r="A34" s="9">
        <v>44592</v>
      </c>
      <c r="B34" s="8">
        <v>5304</v>
      </c>
      <c r="C34" s="8">
        <v>5643</v>
      </c>
    </row>
  </sheetData>
  <mergeCells count="1">
    <mergeCell ref="B2:C2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5220-CB33-7045-A432-86BDADD60A77}">
  <sheetPr codeName="Sheet7"/>
  <dimension ref="A1:O15"/>
  <sheetViews>
    <sheetView tabSelected="1" topLeftCell="A11" zoomScale="112" zoomScaleNormal="112" workbookViewId="0">
      <selection activeCell="H17" sqref="H17"/>
    </sheetView>
  </sheetViews>
  <sheetFormatPr defaultColWidth="8.85546875" defaultRowHeight="15" x14ac:dyDescent="0.25"/>
  <cols>
    <col min="1" max="1" width="9.42578125" bestFit="1" customWidth="1"/>
    <col min="2" max="13" width="6.85546875" customWidth="1"/>
    <col min="14" max="16" width="43" customWidth="1"/>
  </cols>
  <sheetData>
    <row r="1" spans="1:15" s="1" customFormat="1" ht="15.75" x14ac:dyDescent="0.25"/>
    <row r="2" spans="1:15" s="1" customFormat="1" ht="15.75" x14ac:dyDescent="0.25">
      <c r="B2" s="7" t="s">
        <v>26</v>
      </c>
      <c r="C2" s="6"/>
    </row>
    <row r="3" spans="1:15" s="1" customFormat="1" ht="15.75" x14ac:dyDescent="0.25">
      <c r="A3" s="3" t="s">
        <v>1</v>
      </c>
      <c r="B3" s="5" t="s">
        <v>2</v>
      </c>
      <c r="C3" s="5" t="s">
        <v>3</v>
      </c>
      <c r="D3" s="5" t="s">
        <v>25</v>
      </c>
      <c r="E3" s="5" t="s">
        <v>24</v>
      </c>
      <c r="F3" s="5" t="s">
        <v>23</v>
      </c>
      <c r="G3" s="5" t="s">
        <v>22</v>
      </c>
      <c r="H3" s="5" t="s">
        <v>21</v>
      </c>
      <c r="I3" s="5" t="s">
        <v>20</v>
      </c>
      <c r="J3" s="5" t="s">
        <v>19</v>
      </c>
      <c r="K3" s="5" t="s">
        <v>18</v>
      </c>
      <c r="L3" s="5" t="s">
        <v>17</v>
      </c>
      <c r="M3" s="5" t="s">
        <v>16</v>
      </c>
      <c r="N3" s="3" t="s">
        <v>70</v>
      </c>
      <c r="O3" s="3" t="s">
        <v>71</v>
      </c>
    </row>
    <row r="4" spans="1:15" s="1" customFormat="1" ht="47.25" customHeight="1" x14ac:dyDescent="0.25">
      <c r="A4" s="4" t="s">
        <v>4</v>
      </c>
      <c r="B4" s="2">
        <v>65935</v>
      </c>
      <c r="C4" s="2">
        <v>71626</v>
      </c>
      <c r="D4" s="2">
        <v>60190</v>
      </c>
      <c r="E4" s="2">
        <v>63486</v>
      </c>
      <c r="F4" s="2">
        <v>68230</v>
      </c>
      <c r="G4" s="2">
        <v>66543</v>
      </c>
      <c r="H4" s="2">
        <v>60033</v>
      </c>
      <c r="I4" s="2">
        <v>66678</v>
      </c>
      <c r="J4" s="2">
        <v>69778</v>
      </c>
      <c r="K4" s="2">
        <v>62943</v>
      </c>
      <c r="L4" s="2">
        <v>62479</v>
      </c>
      <c r="M4" s="2">
        <v>65506</v>
      </c>
      <c r="N4" s="2"/>
      <c r="O4" s="2"/>
    </row>
    <row r="5" spans="1:15" s="1" customFormat="1" ht="47.25" customHeight="1" x14ac:dyDescent="0.25">
      <c r="A5" s="4" t="s">
        <v>6</v>
      </c>
      <c r="B5" s="2">
        <v>72588</v>
      </c>
      <c r="C5" s="2">
        <v>73998</v>
      </c>
      <c r="D5" s="2">
        <v>60871</v>
      </c>
      <c r="E5" s="2">
        <v>68991</v>
      </c>
      <c r="F5" s="2">
        <v>67690</v>
      </c>
      <c r="G5" s="2">
        <v>71043</v>
      </c>
      <c r="H5" s="2">
        <v>69199</v>
      </c>
      <c r="I5" s="2">
        <v>62653</v>
      </c>
      <c r="J5" s="2">
        <v>61314</v>
      </c>
      <c r="K5" s="2">
        <v>64443</v>
      </c>
      <c r="L5" s="2">
        <v>70994</v>
      </c>
      <c r="M5" s="2">
        <v>71318</v>
      </c>
      <c r="N5" s="2"/>
      <c r="O5" s="2"/>
    </row>
    <row r="6" spans="1:15" s="1" customFormat="1" ht="47.25" customHeight="1" x14ac:dyDescent="0.25">
      <c r="A6" s="4" t="s">
        <v>7</v>
      </c>
      <c r="B6" s="2">
        <v>72469</v>
      </c>
      <c r="C6" s="2">
        <v>67091</v>
      </c>
      <c r="D6" s="2">
        <v>69251</v>
      </c>
      <c r="E6" s="2">
        <v>74970</v>
      </c>
      <c r="F6" s="2">
        <v>72367</v>
      </c>
      <c r="G6" s="2">
        <v>73061</v>
      </c>
      <c r="H6" s="2">
        <v>65210</v>
      </c>
      <c r="I6" s="2">
        <v>74305</v>
      </c>
      <c r="J6" s="2">
        <v>61614</v>
      </c>
      <c r="K6" s="2">
        <v>68414</v>
      </c>
      <c r="L6" s="2">
        <v>68707</v>
      </c>
      <c r="M6" s="2">
        <v>72506</v>
      </c>
      <c r="N6" s="2"/>
      <c r="O6" s="2"/>
    </row>
    <row r="7" spans="1:15" s="1" customFormat="1" ht="47.25" customHeight="1" x14ac:dyDescent="0.25">
      <c r="A7" s="4" t="s">
        <v>8</v>
      </c>
      <c r="B7" s="2">
        <v>66693</v>
      </c>
      <c r="C7" s="2">
        <v>73808</v>
      </c>
      <c r="D7" s="2">
        <v>72831</v>
      </c>
      <c r="E7" s="2">
        <v>71978</v>
      </c>
      <c r="F7" s="2">
        <v>70076</v>
      </c>
      <c r="G7" s="2">
        <v>73257</v>
      </c>
      <c r="H7" s="2">
        <v>63108</v>
      </c>
      <c r="I7" s="2">
        <v>60860</v>
      </c>
      <c r="J7" s="2">
        <v>70193</v>
      </c>
      <c r="K7" s="2">
        <v>64483</v>
      </c>
      <c r="L7" s="2">
        <v>73427</v>
      </c>
      <c r="M7" s="2">
        <v>66581</v>
      </c>
      <c r="N7" s="2"/>
      <c r="O7" s="2"/>
    </row>
    <row r="10" spans="1:15" s="1" customFormat="1" ht="15.75" x14ac:dyDescent="0.25">
      <c r="B10" s="7" t="s">
        <v>68</v>
      </c>
      <c r="C10" s="6"/>
      <c r="D10" s="7"/>
    </row>
    <row r="11" spans="1:15" s="1" customFormat="1" ht="15.75" x14ac:dyDescent="0.25">
      <c r="A11" s="3" t="s">
        <v>1</v>
      </c>
      <c r="B11" s="5" t="s">
        <v>2</v>
      </c>
      <c r="C11" s="5" t="s">
        <v>3</v>
      </c>
      <c r="D11" s="5" t="s">
        <v>25</v>
      </c>
      <c r="E11" s="5" t="s">
        <v>24</v>
      </c>
      <c r="F11" s="5" t="s">
        <v>23</v>
      </c>
      <c r="G11" s="5" t="s">
        <v>22</v>
      </c>
      <c r="H11" s="5" t="s">
        <v>21</v>
      </c>
      <c r="I11" s="5" t="s">
        <v>20</v>
      </c>
      <c r="J11" s="5" t="s">
        <v>19</v>
      </c>
      <c r="K11" s="5" t="s">
        <v>18</v>
      </c>
      <c r="L11" s="5" t="s">
        <v>17</v>
      </c>
      <c r="M11" s="5" t="s">
        <v>16</v>
      </c>
      <c r="N11" s="3" t="s">
        <v>67</v>
      </c>
      <c r="O11"/>
    </row>
    <row r="12" spans="1:15" s="1" customFormat="1" ht="47.25" customHeight="1" x14ac:dyDescent="0.25">
      <c r="A12" s="4" t="s">
        <v>4</v>
      </c>
      <c r="B12" s="2">
        <v>125</v>
      </c>
      <c r="C12" s="2">
        <v>137</v>
      </c>
      <c r="D12" s="2">
        <v>113</v>
      </c>
      <c r="E12" s="2">
        <v>199</v>
      </c>
      <c r="F12" s="2">
        <v>166</v>
      </c>
      <c r="G12" s="2">
        <v>156</v>
      </c>
      <c r="H12" s="2">
        <v>170</v>
      </c>
      <c r="I12" s="2">
        <v>131</v>
      </c>
      <c r="J12" s="2">
        <v>-50</v>
      </c>
      <c r="K12" s="2">
        <v>178</v>
      </c>
      <c r="L12" s="2">
        <v>145</v>
      </c>
      <c r="M12" s="2">
        <v>107</v>
      </c>
      <c r="N12" s="2"/>
      <c r="O12"/>
    </row>
    <row r="13" spans="1:15" s="1" customFormat="1" ht="47.25" customHeight="1" x14ac:dyDescent="0.25">
      <c r="A13" s="4" t="s">
        <v>6</v>
      </c>
      <c r="B13" s="2">
        <v>168</v>
      </c>
      <c r="C13" s="2">
        <v>104</v>
      </c>
      <c r="D13" s="2">
        <v>-150</v>
      </c>
      <c r="E13" s="2">
        <v>188</v>
      </c>
      <c r="F13" s="2">
        <v>173</v>
      </c>
      <c r="G13" s="2">
        <v>150</v>
      </c>
      <c r="H13" s="2">
        <v>130</v>
      </c>
      <c r="I13" s="2">
        <v>135</v>
      </c>
      <c r="J13" s="2">
        <v>175</v>
      </c>
      <c r="K13" s="2">
        <v>-300</v>
      </c>
      <c r="L13" s="2">
        <v>165</v>
      </c>
      <c r="M13" s="2">
        <v>147</v>
      </c>
      <c r="N13" s="2"/>
      <c r="O13"/>
    </row>
    <row r="14" spans="1:15" s="1" customFormat="1" ht="47.25" customHeight="1" x14ac:dyDescent="0.25">
      <c r="A14" s="4" t="s">
        <v>7</v>
      </c>
      <c r="B14" s="2">
        <v>110</v>
      </c>
      <c r="C14" s="2">
        <v>-200</v>
      </c>
      <c r="D14" s="2">
        <v>148</v>
      </c>
      <c r="E14" s="2">
        <v>171</v>
      </c>
      <c r="F14" s="2">
        <v>104</v>
      </c>
      <c r="G14" s="2">
        <v>152</v>
      </c>
      <c r="H14" s="2">
        <v>-120</v>
      </c>
      <c r="I14" s="2">
        <v>103</v>
      </c>
      <c r="J14" s="2">
        <v>169</v>
      </c>
      <c r="K14" s="2">
        <v>188</v>
      </c>
      <c r="L14" s="2">
        <v>169</v>
      </c>
      <c r="M14" s="2">
        <v>151</v>
      </c>
      <c r="N14" s="2"/>
      <c r="O14"/>
    </row>
    <row r="15" spans="1:15" s="1" customFormat="1" ht="47.25" customHeight="1" x14ac:dyDescent="0.25">
      <c r="A15" s="4" t="s">
        <v>8</v>
      </c>
      <c r="B15" s="2">
        <v>174</v>
      </c>
      <c r="C15" s="2">
        <v>158</v>
      </c>
      <c r="D15" s="2">
        <v>-20</v>
      </c>
      <c r="E15" s="2">
        <v>161</v>
      </c>
      <c r="F15" s="2">
        <v>154</v>
      </c>
      <c r="G15" s="2">
        <v>189</v>
      </c>
      <c r="H15" s="2">
        <v>113</v>
      </c>
      <c r="I15" s="2">
        <v>110</v>
      </c>
      <c r="J15" s="2">
        <v>155</v>
      </c>
      <c r="K15" s="2">
        <v>172</v>
      </c>
      <c r="L15" s="2">
        <v>160</v>
      </c>
      <c r="M15" s="2">
        <v>137</v>
      </c>
      <c r="N15" s="2"/>
      <c r="O15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E6D7B45D-4DE3-4DCC-89CE-1C8CBFE0ADBC}">
          <x14:colorSeries theme="4" tint="-0.249977111117893"/>
          <x14:colorNegative theme="4" tint="0.59999389629810485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Sparklines!A12:M12</xm:f>
              <xm:sqref>N12</xm:sqref>
            </x14:sparkline>
            <x14:sparkline>
              <xm:f>Sparklines!A13:M13</xm:f>
              <xm:sqref>N13</xm:sqref>
            </x14:sparkline>
            <x14:sparkline>
              <xm:f>Sparklines!A14:M14</xm:f>
              <xm:sqref>N14</xm:sqref>
            </x14:sparkline>
            <x14:sparkline>
              <xm:f>Sparklines!A15:M15</xm:f>
              <xm:sqref>N15</xm:sqref>
            </x14:sparkline>
          </x14:sparklines>
        </x14:sparklineGroup>
        <x14:sparklineGroup type="column" displayEmptyCellsAs="gap" markers="1" xr2:uid="{8B6FAF30-E17D-49B9-91C0-B69F8B1B930E}">
          <x14:colorSeries rgb="FFAFAFAF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Sparklines!A4:N4</xm:f>
              <xm:sqref>O4</xm:sqref>
            </x14:sparkline>
            <x14:sparkline>
              <xm:f>Sparklines!A5:N5</xm:f>
              <xm:sqref>O5</xm:sqref>
            </x14:sparkline>
            <x14:sparkline>
              <xm:f>Sparklines!A6:N6</xm:f>
              <xm:sqref>O6</xm:sqref>
            </x14:sparkline>
            <x14:sparkline>
              <xm:f>Sparklines!A7:N7</xm:f>
              <xm:sqref>O7</xm:sqref>
            </x14:sparkline>
          </x14:sparklines>
        </x14:sparklineGroup>
        <x14:sparklineGroup displayEmptyCellsAs="gap" markers="1" xr2:uid="{7F2F6FBC-5227-4F9C-9A07-DA1B232FD2EE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Sparklines!A7:M7</xm:f>
              <xm:sqref>N7</xm:sqref>
            </x14:sparkline>
          </x14:sparklines>
        </x14:sparklineGroup>
        <x14:sparklineGroup displayEmptyCellsAs="gap" markers="1" xr2:uid="{A81C8FE3-BEDB-467C-BCCF-A5B327CE2579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Sparklines!A6:M6</xm:f>
              <xm:sqref>N6</xm:sqref>
            </x14:sparkline>
          </x14:sparklines>
        </x14:sparklineGroup>
        <x14:sparklineGroup displayEmptyCellsAs="gap" markers="1" xr2:uid="{E2D58432-B6E4-414B-8419-3B0F6B2BCF45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Sparklines!A4:M4</xm:f>
              <xm:sqref>N4</xm:sqref>
            </x14:sparkline>
          </x14:sparklines>
        </x14:sparklineGroup>
        <x14:sparklineGroup displayEmptyCellsAs="gap" markers="1" xr2:uid="{DAD55FDC-4132-4D44-8529-287F72F94AE8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Sparklines!A5:M5</xm:f>
              <xm:sqref>N5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DC8B-94AE-3D46-8DAE-84CC6C1884D6}">
  <sheetPr codeName="Sheet6"/>
  <dimension ref="A2:Q97"/>
  <sheetViews>
    <sheetView zoomScale="115" zoomScaleNormal="115" workbookViewId="0">
      <selection activeCell="Q56" sqref="Q56"/>
    </sheetView>
  </sheetViews>
  <sheetFormatPr defaultColWidth="8.85546875" defaultRowHeight="15" x14ac:dyDescent="0.25"/>
  <cols>
    <col min="1" max="1" width="13.42578125" customWidth="1"/>
    <col min="2" max="2" width="9.42578125" customWidth="1"/>
  </cols>
  <sheetData>
    <row r="2" spans="1:2" x14ac:dyDescent="0.25">
      <c r="A2" s="13" t="s">
        <v>66</v>
      </c>
      <c r="B2" s="14"/>
    </row>
    <row r="3" spans="1:2" x14ac:dyDescent="0.25">
      <c r="A3" t="s">
        <v>65</v>
      </c>
    </row>
    <row r="4" spans="1:2" x14ac:dyDescent="0.25">
      <c r="A4" t="s">
        <v>58</v>
      </c>
      <c r="B4" t="s">
        <v>64</v>
      </c>
    </row>
    <row r="5" spans="1:2" x14ac:dyDescent="0.25">
      <c r="A5">
        <v>2015</v>
      </c>
      <c r="B5">
        <v>1000</v>
      </c>
    </row>
    <row r="6" spans="1:2" x14ac:dyDescent="0.25">
      <c r="A6">
        <v>2016</v>
      </c>
      <c r="B6">
        <f t="shared" ref="B6:B12" si="0">B5/2</f>
        <v>500</v>
      </c>
    </row>
    <row r="7" spans="1:2" x14ac:dyDescent="0.25">
      <c r="A7">
        <v>2017</v>
      </c>
      <c r="B7">
        <f t="shared" si="0"/>
        <v>250</v>
      </c>
    </row>
    <row r="8" spans="1:2" x14ac:dyDescent="0.25">
      <c r="A8">
        <v>2018</v>
      </c>
      <c r="B8">
        <f t="shared" si="0"/>
        <v>125</v>
      </c>
    </row>
    <row r="9" spans="1:2" x14ac:dyDescent="0.25">
      <c r="A9">
        <v>2019</v>
      </c>
      <c r="B9">
        <f t="shared" si="0"/>
        <v>62.5</v>
      </c>
    </row>
    <row r="10" spans="1:2" x14ac:dyDescent="0.25">
      <c r="A10">
        <v>2020</v>
      </c>
      <c r="B10">
        <f t="shared" si="0"/>
        <v>31.25</v>
      </c>
    </row>
    <row r="11" spans="1:2" x14ac:dyDescent="0.25">
      <c r="A11">
        <v>2021</v>
      </c>
      <c r="B11">
        <f t="shared" si="0"/>
        <v>15.625</v>
      </c>
    </row>
    <row r="12" spans="1:2" x14ac:dyDescent="0.25">
      <c r="A12">
        <v>2022</v>
      </c>
      <c r="B12">
        <f t="shared" si="0"/>
        <v>7.8125</v>
      </c>
    </row>
    <row r="18" spans="1:17" x14ac:dyDescent="0.25">
      <c r="Q18" t="s">
        <v>69</v>
      </c>
    </row>
    <row r="21" spans="1:17" x14ac:dyDescent="0.25">
      <c r="A21" s="13" t="s">
        <v>63</v>
      </c>
      <c r="B21" s="14"/>
    </row>
    <row r="22" spans="1:17" x14ac:dyDescent="0.25">
      <c r="A22" t="s">
        <v>62</v>
      </c>
    </row>
    <row r="23" spans="1:17" x14ac:dyDescent="0.25">
      <c r="A23" t="s">
        <v>58</v>
      </c>
      <c r="B23" t="s">
        <v>61</v>
      </c>
    </row>
    <row r="24" spans="1:17" x14ac:dyDescent="0.25">
      <c r="A24">
        <v>2015</v>
      </c>
      <c r="B24">
        <v>1000</v>
      </c>
    </row>
    <row r="25" spans="1:17" x14ac:dyDescent="0.25">
      <c r="A25">
        <v>2016</v>
      </c>
      <c r="B25">
        <f>B24/2</f>
        <v>500</v>
      </c>
    </row>
    <row r="26" spans="1:17" x14ac:dyDescent="0.25">
      <c r="A26">
        <v>2017</v>
      </c>
      <c r="B26">
        <f>B25/2</f>
        <v>250</v>
      </c>
    </row>
    <row r="27" spans="1:17" x14ac:dyDescent="0.25">
      <c r="A27">
        <v>2018</v>
      </c>
      <c r="B27">
        <f>B26/2</f>
        <v>125</v>
      </c>
    </row>
    <row r="28" spans="1:17" x14ac:dyDescent="0.25">
      <c r="A28">
        <v>2019</v>
      </c>
      <c r="B28">
        <f>B27/2</f>
        <v>62.5</v>
      </c>
    </row>
    <row r="29" spans="1:17" x14ac:dyDescent="0.25">
      <c r="A29">
        <v>2020</v>
      </c>
      <c r="B29">
        <v>-15</v>
      </c>
    </row>
    <row r="30" spans="1:17" x14ac:dyDescent="0.25">
      <c r="A30">
        <v>2021</v>
      </c>
      <c r="B30">
        <v>-100</v>
      </c>
    </row>
    <row r="31" spans="1:17" x14ac:dyDescent="0.25">
      <c r="A31">
        <v>2022</v>
      </c>
      <c r="B31">
        <v>-300</v>
      </c>
    </row>
    <row r="38" spans="1:2" x14ac:dyDescent="0.25">
      <c r="A38" s="13" t="s">
        <v>60</v>
      </c>
      <c r="B38" s="14"/>
    </row>
    <row r="39" spans="1:2" x14ac:dyDescent="0.25">
      <c r="A39" t="s">
        <v>59</v>
      </c>
    </row>
    <row r="40" spans="1:2" x14ac:dyDescent="0.25">
      <c r="A40" t="s">
        <v>58</v>
      </c>
      <c r="B40" t="s">
        <v>0</v>
      </c>
    </row>
    <row r="41" spans="1:2" x14ac:dyDescent="0.25">
      <c r="A41">
        <v>2015</v>
      </c>
      <c r="B41">
        <v>1000</v>
      </c>
    </row>
    <row r="42" spans="1:2" x14ac:dyDescent="0.25">
      <c r="A42">
        <v>2016</v>
      </c>
      <c r="B42">
        <f>B41+500</f>
        <v>1500</v>
      </c>
    </row>
    <row r="43" spans="1:2" x14ac:dyDescent="0.25">
      <c r="A43">
        <v>2017</v>
      </c>
      <c r="B43">
        <f>B42+1820</f>
        <v>3320</v>
      </c>
    </row>
    <row r="44" spans="1:2" x14ac:dyDescent="0.25">
      <c r="A44">
        <v>2018</v>
      </c>
      <c r="B44">
        <v>5300</v>
      </c>
    </row>
    <row r="45" spans="1:2" x14ac:dyDescent="0.25">
      <c r="A45">
        <v>2019</v>
      </c>
      <c r="B45">
        <v>5800</v>
      </c>
    </row>
    <row r="46" spans="1:2" x14ac:dyDescent="0.25">
      <c r="A46">
        <v>2020</v>
      </c>
      <c r="B46">
        <v>3200</v>
      </c>
    </row>
    <row r="47" spans="1:2" x14ac:dyDescent="0.25">
      <c r="A47">
        <v>2021</v>
      </c>
      <c r="B47">
        <v>1000</v>
      </c>
    </row>
    <row r="48" spans="1:2" x14ac:dyDescent="0.25">
      <c r="A48">
        <v>2022</v>
      </c>
      <c r="B48">
        <v>500</v>
      </c>
    </row>
    <row r="56" spans="1:2" x14ac:dyDescent="0.25">
      <c r="A56" s="13" t="s">
        <v>57</v>
      </c>
      <c r="B56" s="13"/>
    </row>
    <row r="57" spans="1:2" x14ac:dyDescent="0.25">
      <c r="A57" t="s">
        <v>56</v>
      </c>
    </row>
    <row r="58" spans="1:2" x14ac:dyDescent="0.25">
      <c r="A58" t="s">
        <v>55</v>
      </c>
      <c r="B58" t="s">
        <v>54</v>
      </c>
    </row>
    <row r="59" spans="1:2" x14ac:dyDescent="0.25">
      <c r="A59">
        <v>1</v>
      </c>
      <c r="B59">
        <v>5</v>
      </c>
    </row>
    <row r="60" spans="1:2" x14ac:dyDescent="0.25">
      <c r="A60">
        <v>2</v>
      </c>
      <c r="B60">
        <f>B59+5</f>
        <v>10</v>
      </c>
    </row>
    <row r="61" spans="1:2" x14ac:dyDescent="0.25">
      <c r="A61">
        <v>3</v>
      </c>
      <c r="B61">
        <f>B60+10</f>
        <v>20</v>
      </c>
    </row>
    <row r="62" spans="1:2" x14ac:dyDescent="0.25">
      <c r="A62">
        <v>4</v>
      </c>
      <c r="B62">
        <f>B61+15</f>
        <v>35</v>
      </c>
    </row>
    <row r="63" spans="1:2" x14ac:dyDescent="0.25">
      <c r="A63">
        <v>5</v>
      </c>
      <c r="B63">
        <f>B62+20</f>
        <v>55</v>
      </c>
    </row>
    <row r="64" spans="1:2" x14ac:dyDescent="0.25">
      <c r="A64">
        <v>6</v>
      </c>
      <c r="B64">
        <f>B63+25</f>
        <v>80</v>
      </c>
    </row>
    <row r="65" spans="1:7" x14ac:dyDescent="0.25">
      <c r="A65">
        <v>7</v>
      </c>
      <c r="B65">
        <f>B64+30</f>
        <v>110</v>
      </c>
    </row>
    <row r="66" spans="1:7" x14ac:dyDescent="0.25">
      <c r="A66">
        <v>8</v>
      </c>
      <c r="B66">
        <f>B65+35</f>
        <v>145</v>
      </c>
    </row>
    <row r="67" spans="1:7" x14ac:dyDescent="0.25">
      <c r="A67">
        <v>9</v>
      </c>
      <c r="B67">
        <f>B66+40</f>
        <v>185</v>
      </c>
    </row>
    <row r="68" spans="1:7" x14ac:dyDescent="0.25">
      <c r="A68">
        <v>10</v>
      </c>
      <c r="B68">
        <f>B67+45</f>
        <v>230</v>
      </c>
    </row>
    <row r="74" spans="1:7" x14ac:dyDescent="0.25">
      <c r="A74" s="13" t="s">
        <v>53</v>
      </c>
      <c r="B74" s="13"/>
    </row>
    <row r="75" spans="1:7" x14ac:dyDescent="0.25">
      <c r="A75" t="s">
        <v>52</v>
      </c>
    </row>
    <row r="76" spans="1:7" x14ac:dyDescent="0.25">
      <c r="A76" t="s">
        <v>27</v>
      </c>
      <c r="B76" t="s">
        <v>51</v>
      </c>
    </row>
    <row r="77" spans="1:7" x14ac:dyDescent="0.25">
      <c r="A77" t="s">
        <v>50</v>
      </c>
      <c r="B77">
        <v>50.25</v>
      </c>
      <c r="G77" s="12"/>
    </row>
    <row r="78" spans="1:7" x14ac:dyDescent="0.25">
      <c r="A78" t="s">
        <v>49</v>
      </c>
      <c r="B78">
        <v>51.4</v>
      </c>
      <c r="G78" s="12"/>
    </row>
    <row r="79" spans="1:7" x14ac:dyDescent="0.25">
      <c r="A79" t="s">
        <v>48</v>
      </c>
      <c r="B79">
        <v>51.8</v>
      </c>
      <c r="G79" s="12"/>
    </row>
    <row r="80" spans="1:7" x14ac:dyDescent="0.25">
      <c r="A80" t="s">
        <v>47</v>
      </c>
      <c r="B80">
        <v>54.6</v>
      </c>
      <c r="G80" s="12"/>
    </row>
    <row r="81" spans="1:7" x14ac:dyDescent="0.25">
      <c r="A81" t="s">
        <v>46</v>
      </c>
      <c r="B81">
        <v>55.35</v>
      </c>
      <c r="G81" s="12"/>
    </row>
    <row r="82" spans="1:7" x14ac:dyDescent="0.25">
      <c r="A82" t="s">
        <v>45</v>
      </c>
      <c r="B82">
        <v>52.95</v>
      </c>
      <c r="G82" s="12"/>
    </row>
    <row r="83" spans="1:7" x14ac:dyDescent="0.25">
      <c r="A83" t="s">
        <v>44</v>
      </c>
      <c r="B83">
        <v>54.95</v>
      </c>
      <c r="G83" s="12"/>
    </row>
    <row r="84" spans="1:7" x14ac:dyDescent="0.25">
      <c r="A84" t="s">
        <v>43</v>
      </c>
      <c r="B84">
        <v>54.45</v>
      </c>
      <c r="G84" s="12"/>
    </row>
    <row r="85" spans="1:7" x14ac:dyDescent="0.25">
      <c r="A85" t="s">
        <v>42</v>
      </c>
      <c r="B85">
        <v>53.6</v>
      </c>
      <c r="G85" s="12"/>
    </row>
    <row r="86" spans="1:7" x14ac:dyDescent="0.25">
      <c r="A86" t="s">
        <v>41</v>
      </c>
      <c r="B86">
        <v>53.5</v>
      </c>
      <c r="G86" s="12"/>
    </row>
    <row r="87" spans="1:7" x14ac:dyDescent="0.25">
      <c r="A87" t="s">
        <v>40</v>
      </c>
      <c r="B87">
        <v>54.95</v>
      </c>
      <c r="G87" s="12"/>
    </row>
    <row r="88" spans="1:7" x14ac:dyDescent="0.25">
      <c r="A88" t="s">
        <v>39</v>
      </c>
      <c r="B88">
        <v>54.55</v>
      </c>
      <c r="G88" s="12"/>
    </row>
    <row r="89" spans="1:7" x14ac:dyDescent="0.25">
      <c r="A89" t="s">
        <v>38</v>
      </c>
      <c r="B89">
        <v>53.65</v>
      </c>
      <c r="G89" s="12"/>
    </row>
    <row r="90" spans="1:7" x14ac:dyDescent="0.25">
      <c r="A90" t="s">
        <v>37</v>
      </c>
      <c r="B90">
        <v>53.95</v>
      </c>
      <c r="G90" s="12"/>
    </row>
    <row r="91" spans="1:7" x14ac:dyDescent="0.25">
      <c r="A91" t="s">
        <v>36</v>
      </c>
      <c r="B91">
        <v>54.8</v>
      </c>
      <c r="G91" s="12"/>
    </row>
    <row r="92" spans="1:7" x14ac:dyDescent="0.25">
      <c r="A92" t="s">
        <v>35</v>
      </c>
      <c r="B92">
        <v>54.05</v>
      </c>
      <c r="G92" s="12"/>
    </row>
    <row r="93" spans="1:7" x14ac:dyDescent="0.25">
      <c r="A93" t="s">
        <v>34</v>
      </c>
      <c r="B93">
        <v>53.85</v>
      </c>
      <c r="G93" s="12"/>
    </row>
    <row r="94" spans="1:7" x14ac:dyDescent="0.25">
      <c r="A94" t="s">
        <v>33</v>
      </c>
      <c r="B94">
        <v>51.9</v>
      </c>
      <c r="G94" s="12"/>
    </row>
    <row r="95" spans="1:7" x14ac:dyDescent="0.25">
      <c r="A95" t="s">
        <v>32</v>
      </c>
      <c r="B95">
        <v>50.75</v>
      </c>
      <c r="G95" s="12"/>
    </row>
    <row r="96" spans="1:7" x14ac:dyDescent="0.25">
      <c r="A96" t="s">
        <v>31</v>
      </c>
      <c r="B96">
        <v>50.75</v>
      </c>
      <c r="G96" s="12"/>
    </row>
    <row r="97" spans="1:7" x14ac:dyDescent="0.25">
      <c r="A97" t="s">
        <v>30</v>
      </c>
      <c r="B97">
        <v>52.9</v>
      </c>
      <c r="G9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Chart Design</vt:lpstr>
      <vt:lpstr>Format</vt:lpstr>
      <vt:lpstr>Coloumn_bar</vt:lpstr>
      <vt:lpstr>Line</vt:lpstr>
      <vt:lpstr>Sparklines</vt:lpstr>
      <vt:lpstr>Trendlines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Siddharth Rout</dc:creator>
  <cp:keywords/>
  <dc:description/>
  <cp:lastModifiedBy>Siddhesh Boraste</cp:lastModifiedBy>
  <cp:revision/>
  <dcterms:created xsi:type="dcterms:W3CDTF">2023-03-02T13:31:55Z</dcterms:created>
  <dcterms:modified xsi:type="dcterms:W3CDTF">2025-09-04T14:02:03Z</dcterms:modified>
  <cp:category/>
  <cp:contentStatus/>
</cp:coreProperties>
</file>