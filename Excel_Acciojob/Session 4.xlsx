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arag/Desktop/Excel/Practice Datasets/"/>
    </mc:Choice>
  </mc:AlternateContent>
  <xr:revisionPtr revIDLastSave="0" documentId="13_ncr:1_{66A6A3B6-59C6-C84D-83FF-82278C0A2398}" xr6:coauthVersionLast="47" xr6:coauthVersionMax="47" xr10:uidLastSave="{00000000-0000-0000-0000-000000000000}"/>
  <bookViews>
    <workbookView xWindow="0" yWindow="0" windowWidth="38400" windowHeight="21600" activeTab="3" xr2:uid="{F6A600F1-CDFF-4A03-A34D-08064572A543}"/>
  </bookViews>
  <sheets>
    <sheet name="Ref_functions" sheetId="2" r:id="rId1"/>
    <sheet name="Lookup functions" sheetId="4" r:id="rId2"/>
    <sheet name="Date functions" sheetId="7" r:id="rId3"/>
    <sheet name="Logical Functio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" i="8" l="1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56" i="8"/>
  <c r="L145" i="8"/>
  <c r="L146" i="8" a="1"/>
  <c r="L146" i="8" s="1"/>
  <c r="L57" i="8" a="1"/>
  <c r="L57" i="8" s="1"/>
  <c r="L58" i="8" a="1"/>
  <c r="L58" i="8"/>
  <c r="L59" i="8" a="1"/>
  <c r="L59" i="8" s="1"/>
  <c r="L60" i="8" a="1"/>
  <c r="L60" i="8"/>
  <c r="L61" i="8" a="1"/>
  <c r="L61" i="8" s="1"/>
  <c r="L62" i="8" a="1"/>
  <c r="L62" i="8"/>
  <c r="L63" i="8" a="1"/>
  <c r="L63" i="8" s="1"/>
  <c r="L64" i="8" a="1"/>
  <c r="L64" i="8"/>
  <c r="L65" i="8" a="1"/>
  <c r="L65" i="8" s="1"/>
  <c r="L66" i="8" a="1"/>
  <c r="L66" i="8"/>
  <c r="L67" i="8" a="1"/>
  <c r="L67" i="8" s="1"/>
  <c r="L68" i="8" a="1"/>
  <c r="L68" i="8"/>
  <c r="L69" i="8" a="1"/>
  <c r="L69" i="8" s="1"/>
  <c r="L70" i="8" a="1"/>
  <c r="L70" i="8"/>
  <c r="L71" i="8" a="1"/>
  <c r="L71" i="8" s="1"/>
  <c r="L72" i="8" a="1"/>
  <c r="L72" i="8"/>
  <c r="L73" i="8" a="1"/>
  <c r="L73" i="8" s="1"/>
  <c r="L74" i="8" a="1"/>
  <c r="L74" i="8"/>
  <c r="L75" i="8" a="1"/>
  <c r="L75" i="8" s="1"/>
  <c r="L76" i="8" a="1"/>
  <c r="L76" i="8"/>
  <c r="L77" i="8" a="1"/>
  <c r="L77" i="8" s="1"/>
  <c r="L78" i="8" a="1"/>
  <c r="L78" i="8"/>
  <c r="L79" i="8" a="1"/>
  <c r="L79" i="8" s="1"/>
  <c r="L80" i="8" a="1"/>
  <c r="L80" i="8"/>
  <c r="L81" i="8" a="1"/>
  <c r="L81" i="8" s="1"/>
  <c r="L82" i="8" a="1"/>
  <c r="L82" i="8"/>
  <c r="L83" i="8" a="1"/>
  <c r="L83" i="8" s="1"/>
  <c r="L84" i="8" a="1"/>
  <c r="L84" i="8"/>
  <c r="L85" i="8" a="1"/>
  <c r="L85" i="8" s="1"/>
  <c r="L86" i="8" a="1"/>
  <c r="L86" i="8" s="1"/>
  <c r="L87" i="8" a="1"/>
  <c r="L87" i="8" s="1"/>
  <c r="L88" i="8" a="1"/>
  <c r="L88" i="8"/>
  <c r="L89" i="8" a="1"/>
  <c r="L89" i="8" s="1"/>
  <c r="L90" i="8" a="1"/>
  <c r="L90" i="8"/>
  <c r="L91" i="8" a="1"/>
  <c r="L91" i="8" s="1"/>
  <c r="L92" i="8" a="1"/>
  <c r="L92" i="8"/>
  <c r="L93" i="8" a="1"/>
  <c r="L93" i="8" s="1"/>
  <c r="L94" i="8" a="1"/>
  <c r="L94" i="8"/>
  <c r="L95" i="8" a="1"/>
  <c r="L95" i="8" s="1"/>
  <c r="L96" i="8" a="1"/>
  <c r="L96" i="8"/>
  <c r="L97" i="8" a="1"/>
  <c r="L97" i="8" s="1"/>
  <c r="L98" i="8" a="1"/>
  <c r="L98" i="8"/>
  <c r="L99" i="8" a="1"/>
  <c r="L99" i="8" s="1"/>
  <c r="L100" i="8" a="1"/>
  <c r="L100" i="8"/>
  <c r="L101" i="8" a="1"/>
  <c r="L101" i="8" s="1"/>
  <c r="L102" i="8" a="1"/>
  <c r="L102" i="8"/>
  <c r="L103" i="8" a="1"/>
  <c r="L103" i="8" s="1"/>
  <c r="L104" i="8" a="1"/>
  <c r="L104" i="8"/>
  <c r="L105" i="8" a="1"/>
  <c r="L105" i="8" s="1"/>
  <c r="L106" i="8" a="1"/>
  <c r="L106" i="8"/>
  <c r="L107" i="8" a="1"/>
  <c r="L107" i="8" s="1"/>
  <c r="L108" i="8" a="1"/>
  <c r="L108" i="8"/>
  <c r="L109" i="8" a="1"/>
  <c r="L109" i="8" s="1"/>
  <c r="L110" i="8" a="1"/>
  <c r="L110" i="8"/>
  <c r="L111" i="8" a="1"/>
  <c r="L111" i="8" s="1"/>
  <c r="L112" i="8" a="1"/>
  <c r="L112" i="8"/>
  <c r="L113" i="8" a="1"/>
  <c r="L113" i="8" s="1"/>
  <c r="L114" i="8" a="1"/>
  <c r="L114" i="8"/>
  <c r="L115" i="8" a="1"/>
  <c r="L115" i="8" s="1"/>
  <c r="L116" i="8" a="1"/>
  <c r="L116" i="8"/>
  <c r="L117" i="8" a="1"/>
  <c r="L117" i="8" s="1"/>
  <c r="L118" i="8" a="1"/>
  <c r="L118" i="8"/>
  <c r="L119" i="8" a="1"/>
  <c r="L119" i="8" s="1"/>
  <c r="L120" i="8" a="1"/>
  <c r="L120" i="8"/>
  <c r="L121" i="8" a="1"/>
  <c r="L121" i="8" s="1"/>
  <c r="L122" i="8" a="1"/>
  <c r="L122" i="8"/>
  <c r="L123" i="8" a="1"/>
  <c r="L123" i="8" s="1"/>
  <c r="L124" i="8" a="1"/>
  <c r="L124" i="8"/>
  <c r="L125" i="8" a="1"/>
  <c r="L125" i="8" s="1"/>
  <c r="L126" i="8" a="1"/>
  <c r="L126" i="8"/>
  <c r="L127" i="8" a="1"/>
  <c r="L127" i="8" s="1"/>
  <c r="L128" i="8" a="1"/>
  <c r="L128" i="8"/>
  <c r="L129" i="8" a="1"/>
  <c r="L129" i="8" s="1"/>
  <c r="L130" i="8" a="1"/>
  <c r="L130" i="8"/>
  <c r="L131" i="8" a="1"/>
  <c r="L131" i="8" s="1"/>
  <c r="L132" i="8" a="1"/>
  <c r="L132" i="8"/>
  <c r="L133" i="8" a="1"/>
  <c r="L133" i="8" s="1"/>
  <c r="L134" i="8" a="1"/>
  <c r="L134" i="8"/>
  <c r="L135" i="8" a="1"/>
  <c r="L135" i="8" s="1"/>
  <c r="L136" i="8" a="1"/>
  <c r="L136" i="8"/>
  <c r="L137" i="8" a="1"/>
  <c r="L137" i="8" s="1"/>
  <c r="L138" i="8" a="1"/>
  <c r="L138" i="8"/>
  <c r="L139" i="8" a="1"/>
  <c r="L139" i="8" s="1"/>
  <c r="L140" i="8" a="1"/>
  <c r="L140" i="8"/>
  <c r="L141" i="8" a="1"/>
  <c r="L141" i="8" s="1"/>
  <c r="L142" i="8" a="1"/>
  <c r="L142" i="8"/>
  <c r="L143" i="8" a="1"/>
  <c r="L143" i="8" s="1"/>
  <c r="L144" i="8" a="1"/>
  <c r="L144" i="8"/>
  <c r="L147" i="8" a="1"/>
  <c r="L147" i="8" s="1"/>
  <c r="L148" i="8" a="1"/>
  <c r="L148" i="8"/>
  <c r="L149" i="8" a="1"/>
  <c r="L149" i="8" s="1"/>
  <c r="L150" i="8" a="1"/>
  <c r="L150" i="8"/>
  <c r="L151" i="8" a="1"/>
  <c r="L151" i="8" s="1"/>
  <c r="L56" i="8" a="1"/>
  <c r="L56" i="8" s="1"/>
  <c r="A29" i="2" a="1"/>
  <c r="A29" i="2" s="1"/>
  <c r="C17" i="7"/>
  <c r="C69" i="7"/>
  <c r="C70" i="7"/>
  <c r="C71" i="7"/>
  <c r="C68" i="7"/>
  <c r="C75" i="7"/>
  <c r="C76" i="7"/>
  <c r="C74" i="7"/>
  <c r="C62" i="7"/>
  <c r="B62" i="7"/>
  <c r="D57" i="7"/>
  <c r="D56" i="7"/>
  <c r="D55" i="7"/>
  <c r="D54" i="7"/>
  <c r="D53" i="7"/>
  <c r="C48" i="7"/>
  <c r="C47" i="7"/>
  <c r="C46" i="7"/>
  <c r="F22" i="7"/>
  <c r="B22" i="7"/>
  <c r="E17" i="7"/>
  <c r="C9" i="7"/>
  <c r="E9" i="7" s="1"/>
  <c r="F8" i="7"/>
  <c r="C8" i="7"/>
  <c r="E8" i="7" s="1"/>
  <c r="C6" i="7"/>
  <c r="B34" i="4"/>
  <c r="E17" i="4"/>
  <c r="E12" i="4"/>
  <c r="B12" i="4"/>
  <c r="B26" i="4"/>
  <c r="B15" i="4"/>
  <c r="B29" i="2" a="1"/>
  <c r="B29" i="2" s="1"/>
  <c r="K57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56" i="8"/>
  <c r="C4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<sst xmlns="http://schemas.openxmlformats.org/spreadsheetml/2006/main" count="864" uniqueCount="526">
  <si>
    <t>Publisher</t>
  </si>
  <si>
    <t>Genre</t>
  </si>
  <si>
    <t>Date</t>
  </si>
  <si>
    <t>Qty</t>
  </si>
  <si>
    <t>Unit Sales</t>
  </si>
  <si>
    <t>Avalon Interactive</t>
  </si>
  <si>
    <t>Shooter</t>
  </si>
  <si>
    <t>Puzzle</t>
  </si>
  <si>
    <t>Avanquest</t>
  </si>
  <si>
    <t>Simulation</t>
  </si>
  <si>
    <t>Racing</t>
  </si>
  <si>
    <t>Sports</t>
  </si>
  <si>
    <t>Avanquest Software</t>
  </si>
  <si>
    <t>Berkeley</t>
  </si>
  <si>
    <t>Nintendo</t>
  </si>
  <si>
    <t>Sid</t>
  </si>
  <si>
    <t>Day</t>
  </si>
  <si>
    <t>Mon</t>
  </si>
  <si>
    <t>Tue</t>
  </si>
  <si>
    <t>Wed</t>
  </si>
  <si>
    <t>Thu</t>
  </si>
  <si>
    <t>Fri</t>
  </si>
  <si>
    <t>Raj</t>
  </si>
  <si>
    <t>Seema</t>
  </si>
  <si>
    <t>POSITION</t>
  </si>
  <si>
    <t>Day at 4th position</t>
  </si>
  <si>
    <t>WEEK 1 FIGURES</t>
  </si>
  <si>
    <t>WEEK 2 FIGURES</t>
  </si>
  <si>
    <t>Amount</t>
  </si>
  <si>
    <t>1 (default)</t>
  </si>
  <si>
    <t>Row/Rows, Coloumn/Coloumns</t>
  </si>
  <si>
    <t>Data Validation Functions - Type,Isnumber,Istext,Iserror,Isblank,Islogical,Isnotetext</t>
  </si>
  <si>
    <t>Filter,Sort,Sortby</t>
  </si>
  <si>
    <t>Hlookup</t>
  </si>
  <si>
    <t>Vlookup</t>
  </si>
  <si>
    <t>Lookup</t>
  </si>
  <si>
    <t>Index</t>
  </si>
  <si>
    <t>Match</t>
  </si>
  <si>
    <t>Xlookup</t>
  </si>
  <si>
    <t>Reading the date</t>
  </si>
  <si>
    <t>Current Date</t>
  </si>
  <si>
    <t>10 days from today</t>
  </si>
  <si>
    <t>Current Time</t>
  </si>
  <si>
    <t>12 Hours from now</t>
  </si>
  <si>
    <t>Start Date</t>
  </si>
  <si>
    <t>End Date</t>
  </si>
  <si>
    <t>Date Difference</t>
  </si>
  <si>
    <t>Net Working Days</t>
  </si>
  <si>
    <t>List Of Holidays</t>
  </si>
  <si>
    <t>Weekend number</t>
  </si>
  <si>
    <t>Weekend days</t>
  </si>
  <si>
    <t>String</t>
  </si>
  <si>
    <t>Saturday, Sunday</t>
  </si>
  <si>
    <t>0000000</t>
  </si>
  <si>
    <t>No Weekends</t>
  </si>
  <si>
    <t>Sunday, Monday</t>
  </si>
  <si>
    <t>0000011</t>
  </si>
  <si>
    <t>Monday, Tuesday</t>
  </si>
  <si>
    <t>1010100</t>
  </si>
  <si>
    <t>Monday, Wednesday, Friday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</si>
  <si>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</si>
  <si>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</si>
  <si>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</si>
  <si>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</si>
  <si>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</si>
  <si>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</si>
  <si>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</si>
  <si>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</si>
  <si>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</si>
  <si>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</si>
  <si>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</si>
  <si>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>"01/01/1900"</t>
  </si>
  <si>
    <t>File - Options - Advanced Panel - When Calculating the Workbook</t>
  </si>
  <si>
    <t>Today,Now</t>
  </si>
  <si>
    <t>Days</t>
  </si>
  <si>
    <t>Year</t>
  </si>
  <si>
    <t>Month</t>
  </si>
  <si>
    <t>Date,Year,Month,Day</t>
  </si>
  <si>
    <t>EndofMonth</t>
  </si>
  <si>
    <t>No Of Months</t>
  </si>
  <si>
    <t>End of Month</t>
  </si>
  <si>
    <t>Time, Hour, Min, Seconds</t>
  </si>
  <si>
    <t>Time</t>
  </si>
  <si>
    <t>Hour</t>
  </si>
  <si>
    <t>Min</t>
  </si>
  <si>
    <t>Sec</t>
  </si>
  <si>
    <t>Datevalue,Timevalue</t>
  </si>
  <si>
    <t>Date Values</t>
  </si>
  <si>
    <t>20/02/2023</t>
  </si>
  <si>
    <t>02/03/2023</t>
  </si>
  <si>
    <t>03/02/2023</t>
  </si>
  <si>
    <t>03 Mar 2023</t>
  </si>
  <si>
    <t>Time Values</t>
  </si>
  <si>
    <t>13:45:00</t>
  </si>
  <si>
    <t>02/03/2023 14:00</t>
  </si>
  <si>
    <t>A</t>
  </si>
  <si>
    <t>B</t>
  </si>
  <si>
    <t>AND</t>
  </si>
  <si>
    <t>OR</t>
  </si>
  <si>
    <t>XOR</t>
  </si>
  <si>
    <t>AND(*)</t>
  </si>
  <si>
    <t>OR(+)</t>
  </si>
  <si>
    <t>NOT</t>
  </si>
  <si>
    <t>1/22/2020</t>
  </si>
  <si>
    <t>1/23/2020</t>
  </si>
  <si>
    <t>1/24/2021</t>
  </si>
  <si>
    <t>1/25/2023</t>
  </si>
  <si>
    <t>1/20/2020</t>
  </si>
  <si>
    <t>1/21/2021</t>
  </si>
  <si>
    <t>1/17/2020</t>
  </si>
  <si>
    <t>1/18/2021</t>
  </si>
  <si>
    <t>1/19/2023</t>
  </si>
  <si>
    <t>1/14/2020</t>
  </si>
  <si>
    <t>1/15/2021</t>
  </si>
  <si>
    <t>1/16/2023</t>
  </si>
  <si>
    <t>1/13/2023</t>
  </si>
  <si>
    <t>XOR TABLE - 1 argument</t>
  </si>
  <si>
    <t>Logic</t>
  </si>
  <si>
    <t>Result</t>
  </si>
  <si>
    <t>Expression1</t>
  </si>
  <si>
    <t>True Count is ODD</t>
  </si>
  <si>
    <t>All cells are FALSE</t>
  </si>
  <si>
    <t>True Count is EVEN</t>
  </si>
  <si>
    <t>XOR TABLE - 2 arguments</t>
  </si>
  <si>
    <t>Expression2</t>
  </si>
  <si>
    <t>XOR TABLE - 3 or more arguments</t>
  </si>
  <si>
    <t>Expression3</t>
  </si>
  <si>
    <t>Expression4</t>
  </si>
  <si>
    <t>Employee ID</t>
  </si>
  <si>
    <t>First Name</t>
  </si>
  <si>
    <t>Last Name</t>
  </si>
  <si>
    <t>Gender</t>
  </si>
  <si>
    <t>Age</t>
  </si>
  <si>
    <t>Email</t>
  </si>
  <si>
    <t>Phone</t>
  </si>
  <si>
    <t>Occupation</t>
  </si>
  <si>
    <t>Salary</t>
  </si>
  <si>
    <t>Start_Date</t>
  </si>
  <si>
    <t>Adam</t>
  </si>
  <si>
    <t>Richards</t>
  </si>
  <si>
    <t>Male</t>
  </si>
  <si>
    <t>a.richards@randatmail.com</t>
  </si>
  <si>
    <t>271-3539-63</t>
  </si>
  <si>
    <t>Historian</t>
  </si>
  <si>
    <t>Kirsten</t>
  </si>
  <si>
    <t>Stewart</t>
  </si>
  <si>
    <t>Female</t>
  </si>
  <si>
    <t>k.stewart@randatmail.com</t>
  </si>
  <si>
    <t>346-3670-49</t>
  </si>
  <si>
    <t>Producer</t>
  </si>
  <si>
    <t>Jared</t>
  </si>
  <si>
    <t>Andrews</t>
  </si>
  <si>
    <t>j.andrews@randatmail.com</t>
  </si>
  <si>
    <t>566-9572-74</t>
  </si>
  <si>
    <t>Jeweller</t>
  </si>
  <si>
    <t>Patrick</t>
  </si>
  <si>
    <t>Spencer</t>
  </si>
  <si>
    <t>p.spencer@randatmail.com</t>
  </si>
  <si>
    <t>625-2852-78</t>
  </si>
  <si>
    <t>Biochemist</t>
  </si>
  <si>
    <t>Adrianna</t>
  </si>
  <si>
    <t>Craig</t>
  </si>
  <si>
    <t>a.craig@randatmail.com</t>
  </si>
  <si>
    <t>918-0953-91</t>
  </si>
  <si>
    <t>Social Worker</t>
  </si>
  <si>
    <t>Alford</t>
  </si>
  <si>
    <t>Hawkins</t>
  </si>
  <si>
    <t>a.hawkins@randatmail.com</t>
  </si>
  <si>
    <t>854-6698-35</t>
  </si>
  <si>
    <t>Cook</t>
  </si>
  <si>
    <t>Melanie</t>
  </si>
  <si>
    <t>Davis</t>
  </si>
  <si>
    <t>m.davis@randatmail.com</t>
  </si>
  <si>
    <t>913-6686-70</t>
  </si>
  <si>
    <t>Eddy</t>
  </si>
  <si>
    <t>Chapman</t>
  </si>
  <si>
    <t>e.chapman@randatmail.com</t>
  </si>
  <si>
    <t>517-6163-03</t>
  </si>
  <si>
    <t>Salesman</t>
  </si>
  <si>
    <t>Sam</t>
  </si>
  <si>
    <t>Bennett</t>
  </si>
  <si>
    <t>s.bennett@randatmail.com</t>
  </si>
  <si>
    <t>567-5551-00</t>
  </si>
  <si>
    <t>Graphic Designer</t>
  </si>
  <si>
    <t>Amber</t>
  </si>
  <si>
    <t>Richardson</t>
  </si>
  <si>
    <t>a.richardson@randatmail.com</t>
  </si>
  <si>
    <t>131-7997-69</t>
  </si>
  <si>
    <t>Mathematician</t>
  </si>
  <si>
    <t>Clark</t>
  </si>
  <si>
    <t>Wilson</t>
  </si>
  <si>
    <t>c.wilson@randatmail.com</t>
  </si>
  <si>
    <t>617-0162-88</t>
  </si>
  <si>
    <t>Actor</t>
  </si>
  <si>
    <t>Adele</t>
  </si>
  <si>
    <t>Douglas</t>
  </si>
  <si>
    <t>a.douglas@randatmail.com</t>
  </si>
  <si>
    <t>845-2714-72</t>
  </si>
  <si>
    <t>Economist</t>
  </si>
  <si>
    <t>Sydney</t>
  </si>
  <si>
    <t>Brooks</t>
  </si>
  <si>
    <t>s.brooks@randatmail.com</t>
  </si>
  <si>
    <t>985-2944-17</t>
  </si>
  <si>
    <t>Physicist</t>
  </si>
  <si>
    <t>Victoria</t>
  </si>
  <si>
    <t>Owens</t>
  </si>
  <si>
    <t>v.owens@randatmail.com</t>
  </si>
  <si>
    <t>490-7580-49</t>
  </si>
  <si>
    <t>Photographer</t>
  </si>
  <si>
    <t>Charlie</t>
  </si>
  <si>
    <t>Harrison</t>
  </si>
  <si>
    <t>c.harrison@randatmail.com</t>
  </si>
  <si>
    <t>836-7994-29</t>
  </si>
  <si>
    <t>Florist</t>
  </si>
  <si>
    <t>Connie</t>
  </si>
  <si>
    <t>Ross</t>
  </si>
  <si>
    <t>c.ross@randatmail.com</t>
  </si>
  <si>
    <t>322-6057-62</t>
  </si>
  <si>
    <t>Agronomist</t>
  </si>
  <si>
    <t>Stella</t>
  </si>
  <si>
    <t>Harris</t>
  </si>
  <si>
    <t>s.harris@randatmail.com</t>
  </si>
  <si>
    <t>413-9543-32</t>
  </si>
  <si>
    <t>William</t>
  </si>
  <si>
    <t>w.wilson@randatmail.com</t>
  </si>
  <si>
    <t>789-6475-82</t>
  </si>
  <si>
    <t>Byron</t>
  </si>
  <si>
    <t>Evans</t>
  </si>
  <si>
    <t>b.evans@randatmail.com</t>
  </si>
  <si>
    <t>328-7133-23</t>
  </si>
  <si>
    <t>Alina</t>
  </si>
  <si>
    <t>Carroll</t>
  </si>
  <si>
    <t>a.carroll@randatmail.com</t>
  </si>
  <si>
    <t>382-4925-39</t>
  </si>
  <si>
    <t>Ryan</t>
  </si>
  <si>
    <t>Warren</t>
  </si>
  <si>
    <t>r.warren@randatmail.com</t>
  </si>
  <si>
    <t>745-0010-60</t>
  </si>
  <si>
    <t>Engineer</t>
  </si>
  <si>
    <t>Miley</t>
  </si>
  <si>
    <t>Brown</t>
  </si>
  <si>
    <t>m.brown@randatmail.com</t>
  </si>
  <si>
    <t>729-9923-13</t>
  </si>
  <si>
    <t>Barnes</t>
  </si>
  <si>
    <t>s.barnes@randatmail.com</t>
  </si>
  <si>
    <t>562-4611-84</t>
  </si>
  <si>
    <t>Aeroplane Pilot</t>
  </si>
  <si>
    <t>Garry</t>
  </si>
  <si>
    <t>Rogers</t>
  </si>
  <si>
    <t>g.rogers@randatmail.com</t>
  </si>
  <si>
    <t>715-0732-18</t>
  </si>
  <si>
    <t>Scientist</t>
  </si>
  <si>
    <t>Eleanor</t>
  </si>
  <si>
    <t>e.hawkins@randatmail.com</t>
  </si>
  <si>
    <t>896-1532-64</t>
  </si>
  <si>
    <t>Journalist</t>
  </si>
  <si>
    <t>k.douglas@randatmail.com</t>
  </si>
  <si>
    <t>502-6382-55</t>
  </si>
  <si>
    <t>Fashion Designer</t>
  </si>
  <si>
    <t>Frederick</t>
  </si>
  <si>
    <t>Casey</t>
  </si>
  <si>
    <t>f.casey@randatmail.com</t>
  </si>
  <si>
    <t>665-0357-86</t>
  </si>
  <si>
    <t>Driver</t>
  </si>
  <si>
    <t>Derek</t>
  </si>
  <si>
    <t>Baker</t>
  </si>
  <si>
    <t>d.baker@randatmail.com</t>
  </si>
  <si>
    <t>576-6997-00</t>
  </si>
  <si>
    <t>Steven</t>
  </si>
  <si>
    <t>s.ryan@randatmail.com</t>
  </si>
  <si>
    <t>164-7381-27</t>
  </si>
  <si>
    <t>Accountant</t>
  </si>
  <si>
    <t>Morris</t>
  </si>
  <si>
    <t>a.morris@randatmail.com</t>
  </si>
  <si>
    <t>679-0076-57</t>
  </si>
  <si>
    <t>Manager</t>
  </si>
  <si>
    <t>Tara</t>
  </si>
  <si>
    <t>Perry</t>
  </si>
  <si>
    <t>t.perry@randatmail.com</t>
  </si>
  <si>
    <t>880-9810-59</t>
  </si>
  <si>
    <t>Dancer</t>
  </si>
  <si>
    <t>Dainton</t>
  </si>
  <si>
    <t>Kelley</t>
  </si>
  <si>
    <t>d.kelley@randatmail.com</t>
  </si>
  <si>
    <t>984-3003-68</t>
  </si>
  <si>
    <t>Melissa</t>
  </si>
  <si>
    <t>Howard</t>
  </si>
  <si>
    <t>m.howard@randatmail.com</t>
  </si>
  <si>
    <t>892-3359-99</t>
  </si>
  <si>
    <t>Justin</t>
  </si>
  <si>
    <t>Murray</t>
  </si>
  <si>
    <t>j.murray@randatmail.com</t>
  </si>
  <si>
    <t>849-0492-00</t>
  </si>
  <si>
    <t>Mechanic</t>
  </si>
  <si>
    <t>Vivian</t>
  </si>
  <si>
    <t>v.kelley@randatmail.com</t>
  </si>
  <si>
    <t>261-9007-00</t>
  </si>
  <si>
    <t>Geologist</t>
  </si>
  <si>
    <t>Miller</t>
  </si>
  <si>
    <t>v.miller@randatmail.com</t>
  </si>
  <si>
    <t>625-8758-54</t>
  </si>
  <si>
    <t>Chemist</t>
  </si>
  <si>
    <t>Harold</t>
  </si>
  <si>
    <t>Alexander</t>
  </si>
  <si>
    <t>h.alexander@randatmail.com</t>
  </si>
  <si>
    <t>714-9269-48</t>
  </si>
  <si>
    <t>Astronomer</t>
  </si>
  <si>
    <t>Fenton</t>
  </si>
  <si>
    <t>Walker</t>
  </si>
  <si>
    <t>f.walker@randatmail.com</t>
  </si>
  <si>
    <t>100-9310-51</t>
  </si>
  <si>
    <t>Leonardo</t>
  </si>
  <si>
    <t>Martin</t>
  </si>
  <si>
    <t>l.martin@randatmail.com</t>
  </si>
  <si>
    <t>545-5184-83</t>
  </si>
  <si>
    <t>Architect</t>
  </si>
  <si>
    <t>Arthur</t>
  </si>
  <si>
    <t>Robinson</t>
  </si>
  <si>
    <t>a.robinson@randatmail.com</t>
  </si>
  <si>
    <t>958-8668-55</t>
  </si>
  <si>
    <t>Archeologist</t>
  </si>
  <si>
    <t>Aiden</t>
  </si>
  <si>
    <t>a.brooks@randatmail.com</t>
  </si>
  <si>
    <t>267-1013-55</t>
  </si>
  <si>
    <t>Interior Designer</t>
  </si>
  <si>
    <t>West</t>
  </si>
  <si>
    <t>j.west@randatmail.com</t>
  </si>
  <si>
    <t>676-8672-34</t>
  </si>
  <si>
    <t>Chef</t>
  </si>
  <si>
    <t>Chelsea</t>
  </si>
  <si>
    <t>c.carroll@randatmail.com</t>
  </si>
  <si>
    <t>440-3138-17</t>
  </si>
  <si>
    <t>Singer</t>
  </si>
  <si>
    <t>Alen</t>
  </si>
  <si>
    <t>a.casey@randatmail.com</t>
  </si>
  <si>
    <t>344-1237-35</t>
  </si>
  <si>
    <t>Carpenter</t>
  </si>
  <si>
    <t>Sarah</t>
  </si>
  <si>
    <t>Russell</t>
  </si>
  <si>
    <t>s.russell@randatmail.com</t>
  </si>
  <si>
    <t>423-6760-78</t>
  </si>
  <si>
    <t>Edith</t>
  </si>
  <si>
    <t>e.walker@randatmail.com</t>
  </si>
  <si>
    <t>404-5576-87</t>
  </si>
  <si>
    <t>Thomas</t>
  </si>
  <si>
    <t>Carter</t>
  </si>
  <si>
    <t>t.carter@randatmail.com</t>
  </si>
  <si>
    <t>458-0264-56</t>
  </si>
  <si>
    <t>Composer</t>
  </si>
  <si>
    <t>Edgar</t>
  </si>
  <si>
    <t>Tucker</t>
  </si>
  <si>
    <t>e.tucker@randatmail.com</t>
  </si>
  <si>
    <t>096-6916-66</t>
  </si>
  <si>
    <t>Veterinarian</t>
  </si>
  <si>
    <t>Kelvin</t>
  </si>
  <si>
    <t>Moore</t>
  </si>
  <si>
    <t>k.moore@randatmail.com</t>
  </si>
  <si>
    <t>070-5181-45</t>
  </si>
  <si>
    <t>Auditor</t>
  </si>
  <si>
    <t>Blake</t>
  </si>
  <si>
    <t>Fowler</t>
  </si>
  <si>
    <t>b.fowler@randatmail.com</t>
  </si>
  <si>
    <t>914-8826-99</t>
  </si>
  <si>
    <t>Firefighter</t>
  </si>
  <si>
    <t>Alan</t>
  </si>
  <si>
    <t>Hamilton</t>
  </si>
  <si>
    <t>a.hamilton@randatmail.com</t>
  </si>
  <si>
    <t>798-6412-68</t>
  </si>
  <si>
    <t>Pharmacist</t>
  </si>
  <si>
    <t>Lucy</t>
  </si>
  <si>
    <t>l.thomas@randatmail.com</t>
  </si>
  <si>
    <t>591-4517-87</t>
  </si>
  <si>
    <t>Programmer</t>
  </si>
  <si>
    <t>a.spencer@randatmail.com</t>
  </si>
  <si>
    <t>233-7132-87</t>
  </si>
  <si>
    <t>Jasmine</t>
  </si>
  <si>
    <t>Myers</t>
  </si>
  <si>
    <t>j.myers@randatmail.com</t>
  </si>
  <si>
    <t>345-8947-28</t>
  </si>
  <si>
    <t>Dexter</t>
  </si>
  <si>
    <t>d.owens@randatmail.com</t>
  </si>
  <si>
    <t>885-3295-53</t>
  </si>
  <si>
    <t>Lecturer</t>
  </si>
  <si>
    <t>James</t>
  </si>
  <si>
    <t>509-2235-02</t>
  </si>
  <si>
    <t>Julian</t>
  </si>
  <si>
    <t>j.brooks@randatmail.com</t>
  </si>
  <si>
    <t>641-7966-82</t>
  </si>
  <si>
    <t>Insurer</t>
  </si>
  <si>
    <t>Florrie</t>
  </si>
  <si>
    <t>Crawford</t>
  </si>
  <si>
    <t>f.crawford@randatmail.com</t>
  </si>
  <si>
    <t>630-7801-06</t>
  </si>
  <si>
    <t>Tiana</t>
  </si>
  <si>
    <t>Gibson</t>
  </si>
  <si>
    <t>t.gibson@randatmail.com</t>
  </si>
  <si>
    <t>853-2152-45</t>
  </si>
  <si>
    <t>Jessica</t>
  </si>
  <si>
    <t>j.walker@randatmail.com</t>
  </si>
  <si>
    <t>510-9409-96</t>
  </si>
  <si>
    <t>Amanda</t>
  </si>
  <si>
    <t>Ellis</t>
  </si>
  <si>
    <t>a.ellis@randatmail.com</t>
  </si>
  <si>
    <t>560-0422-75</t>
  </si>
  <si>
    <t>Adelaide</t>
  </si>
  <si>
    <t>Roberts</t>
  </si>
  <si>
    <t>a.roberts@randatmail.com</t>
  </si>
  <si>
    <t>137-6385-93</t>
  </si>
  <si>
    <t>Evelyn</t>
  </si>
  <si>
    <t>Wright</t>
  </si>
  <si>
    <t>e.wright@randatmail.com</t>
  </si>
  <si>
    <t>669-6437-24</t>
  </si>
  <si>
    <t>Violet</t>
  </si>
  <si>
    <t>v.carroll@randatmail.com</t>
  </si>
  <si>
    <t>033-5790-96</t>
  </si>
  <si>
    <t>Jack</t>
  </si>
  <si>
    <t>j.wright@randatmail.com</t>
  </si>
  <si>
    <t>380-5608-48</t>
  </si>
  <si>
    <t>Cherry</t>
  </si>
  <si>
    <t>Gray</t>
  </si>
  <si>
    <t>c.gray@randatmail.com</t>
  </si>
  <si>
    <t>067-7646-85</t>
  </si>
  <si>
    <t>Interpreter</t>
  </si>
  <si>
    <t>Eric</t>
  </si>
  <si>
    <t>e.thomas@randatmail.com</t>
  </si>
  <si>
    <t>903-1892-95</t>
  </si>
  <si>
    <t>Brad</t>
  </si>
  <si>
    <t>b.ellis@randatmail.com</t>
  </si>
  <si>
    <t>178-8584-57</t>
  </si>
  <si>
    <t>Sophia</t>
  </si>
  <si>
    <t>s.warren@randatmail.com</t>
  </si>
  <si>
    <t>083-1739-44</t>
  </si>
  <si>
    <t>a.fowler@randatmail.com</t>
  </si>
  <si>
    <t>929-5704-48</t>
  </si>
  <si>
    <t>Tony</t>
  </si>
  <si>
    <t>t.baker@randatmail.com</t>
  </si>
  <si>
    <t>361-0075-42</t>
  </si>
  <si>
    <t>Albert</t>
  </si>
  <si>
    <t>a.murray@randatmail.com</t>
  </si>
  <si>
    <t>613-6154-24</t>
  </si>
  <si>
    <t>Brooke</t>
  </si>
  <si>
    <t>Turner</t>
  </si>
  <si>
    <t>b.turner@randatmail.com</t>
  </si>
  <si>
    <t>798-9545-88</t>
  </si>
  <si>
    <t>e.barnes@randatmail.com</t>
  </si>
  <si>
    <t>174-0878-60</t>
  </si>
  <si>
    <t>Ferguson</t>
  </si>
  <si>
    <t>c.ferguson@randatmail.com</t>
  </si>
  <si>
    <t>828-0322-62</t>
  </si>
  <si>
    <t>Henderson</t>
  </si>
  <si>
    <t>f.henderson@randatmail.com</t>
  </si>
  <si>
    <t>941-8197-91</t>
  </si>
  <si>
    <t>Medic</t>
  </si>
  <si>
    <t>e.owens@randatmail.com</t>
  </si>
  <si>
    <t>363-2780-94</t>
  </si>
  <si>
    <t>Abraham</t>
  </si>
  <si>
    <t>a.ryan@randatmail.com</t>
  </si>
  <si>
    <t>088-0948-13</t>
  </si>
  <si>
    <t>Cole</t>
  </si>
  <si>
    <t>a.cole@randatmail.com</t>
  </si>
  <si>
    <t>404-2070-43</t>
  </si>
  <si>
    <t>c.spencer@randatmail.com</t>
  </si>
  <si>
    <t>819-7883-29</t>
  </si>
  <si>
    <t>Henry</t>
  </si>
  <si>
    <t>h.spencer@randatmail.com</t>
  </si>
  <si>
    <t>398-6034-63</t>
  </si>
  <si>
    <t>Morrison</t>
  </si>
  <si>
    <t>w.morrison@randatmail.com</t>
  </si>
  <si>
    <t>283-5540-27</t>
  </si>
  <si>
    <t>Bruce</t>
  </si>
  <si>
    <t>769-0762-40</t>
  </si>
  <si>
    <t>Morgan</t>
  </si>
  <si>
    <t>e.morgan@randatmail.com</t>
  </si>
  <si>
    <t>534-6101-07</t>
  </si>
  <si>
    <t>p.douglas@randatmail.com</t>
  </si>
  <si>
    <t>592-2102-92</t>
  </si>
  <si>
    <t>a.martin@randatmail.com</t>
  </si>
  <si>
    <t>341-3189-87</t>
  </si>
  <si>
    <t>073-8653-72</t>
  </si>
  <si>
    <t>Watson</t>
  </si>
  <si>
    <t>g.watson@randatmail.com</t>
  </si>
  <si>
    <t>949-5532-60</t>
  </si>
  <si>
    <t>Andrew</t>
  </si>
  <si>
    <t>a.wright@randatmail.com</t>
  </si>
  <si>
    <t>108-3255-97</t>
  </si>
  <si>
    <t>j.robinson@randatmail.com</t>
  </si>
  <si>
    <t>558-9779-10</t>
  </si>
  <si>
    <t>Electrician</t>
  </si>
  <si>
    <t>Rafael</t>
  </si>
  <si>
    <t>Hall</t>
  </si>
  <si>
    <t>r.hall@randatmail.com</t>
  </si>
  <si>
    <t>253-8161-91</t>
  </si>
  <si>
    <t>Campbell</t>
  </si>
  <si>
    <t>p.campbell@randatmail.com</t>
  </si>
  <si>
    <t>547-9832-99</t>
  </si>
  <si>
    <t>Paige</t>
  </si>
  <si>
    <t>Sullivan</t>
  </si>
  <si>
    <t>p.sullivan@randatmail.com</t>
  </si>
  <si>
    <t>656-2962-23</t>
  </si>
  <si>
    <t>d.rogers@randatmail.com</t>
  </si>
  <si>
    <t>167-2307-15</t>
  </si>
  <si>
    <t>Teacher</t>
  </si>
  <si>
    <t>Adison</t>
  </si>
  <si>
    <t>323-3025-96</t>
  </si>
  <si>
    <t>Hairdresser</t>
  </si>
  <si>
    <t>Kimberly</t>
  </si>
  <si>
    <t>Dixon</t>
  </si>
  <si>
    <t>k.dixon</t>
  </si>
  <si>
    <t>656-2962-21</t>
  </si>
  <si>
    <t>IF,IFS,Iferror,ifna</t>
  </si>
  <si>
    <t>1900 -1904</t>
  </si>
  <si>
    <t>12:00 pm</t>
  </si>
  <si>
    <t>Networkdays,Networkdays.intl</t>
  </si>
  <si>
    <t>Y2 Qty</t>
  </si>
  <si>
    <t>Rand,Randbetween</t>
  </si>
  <si>
    <t>Median</t>
  </si>
  <si>
    <t>Mode</t>
  </si>
  <si>
    <t>Percentile</t>
  </si>
  <si>
    <t>Mean/avarage</t>
  </si>
  <si>
    <t>Large</t>
  </si>
  <si>
    <t>Small</t>
  </si>
  <si>
    <t>Rank</t>
  </si>
  <si>
    <t>Choose</t>
  </si>
  <si>
    <t>Offset</t>
  </si>
  <si>
    <t>Sequence</t>
  </si>
  <si>
    <t>Parag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</si>
</sst>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&quot;₹&quot;\ #,##0.00"/>
    <numFmt numFmtId="165" formatCode="dd/mm/yyyy\ hh:mm\ AM/PM"/>
    <numFmt numFmtId="166" formatCode="hh:mm:ss;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3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14" fontId="8" fillId="5" borderId="1" xfId="0" applyNumberFormat="1" applyFont="1" applyFill="1" applyBorder="1"/>
    <xf numFmtId="14" fontId="8" fillId="0" borderId="0" xfId="0" applyNumberFormat="1" applyFont="1"/>
    <xf numFmtId="22" fontId="8" fillId="5" borderId="2" xfId="0" applyNumberFormat="1" applyFont="1" applyFill="1" applyBorder="1"/>
    <xf numFmtId="14" fontId="8" fillId="5" borderId="2" xfId="0" applyNumberFormat="1" applyFont="1" applyFill="1" applyBorder="1"/>
    <xf numFmtId="0" fontId="8" fillId="5" borderId="0" xfId="0" applyFont="1" applyFill="1"/>
    <xf numFmtId="165" fontId="8" fillId="0" borderId="0" xfId="0" applyNumberFormat="1" applyFont="1"/>
    <xf numFmtId="0" fontId="8" fillId="6" borderId="0" xfId="0" applyFont="1" applyFill="1"/>
    <xf numFmtId="0" fontId="8" fillId="0" borderId="0" xfId="0" applyFont="1" applyAlignment="1">
      <alignment horizontal="center"/>
    </xf>
    <xf numFmtId="1" fontId="8" fillId="5" borderId="1" xfId="0" applyNumberFormat="1" applyFont="1" applyFill="1" applyBorder="1"/>
    <xf numFmtId="49" fontId="8" fillId="0" borderId="0" xfId="0" applyNumberFormat="1" applyFont="1"/>
    <xf numFmtId="0" fontId="4" fillId="0" borderId="0" xfId="0" applyFont="1" applyAlignment="1">
      <alignment horizontal="center"/>
    </xf>
    <xf numFmtId="20" fontId="8" fillId="0" borderId="0" xfId="0" applyNumberFormat="1" applyFont="1"/>
    <xf numFmtId="22" fontId="8" fillId="0" borderId="0" xfId="0" applyNumberFormat="1" applyFont="1"/>
    <xf numFmtId="0" fontId="10" fillId="0" borderId="0" xfId="0" applyFont="1"/>
    <xf numFmtId="20" fontId="10" fillId="0" borderId="0" xfId="0" applyNumberFormat="1" applyFont="1"/>
    <xf numFmtId="22" fontId="10" fillId="0" borderId="0" xfId="0" applyNumberFormat="1" applyFont="1"/>
    <xf numFmtId="14" fontId="10" fillId="0" borderId="0" xfId="0" applyNumberFormat="1" applyFont="1"/>
    <xf numFmtId="0" fontId="9" fillId="0" borderId="0" xfId="0" applyFont="1"/>
    <xf numFmtId="14" fontId="8" fillId="0" borderId="2" xfId="0" applyNumberFormat="1" applyFont="1" applyBorder="1"/>
    <xf numFmtId="14" fontId="0" fillId="3" borderId="1" xfId="0" applyNumberForma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14" fontId="8" fillId="0" borderId="6" xfId="0" applyNumberFormat="1" applyFont="1" applyBorder="1"/>
    <xf numFmtId="0" fontId="8" fillId="0" borderId="2" xfId="0" applyFont="1" applyBorder="1" applyAlignment="1">
      <alignment horizontal="center"/>
    </xf>
    <xf numFmtId="14" fontId="8" fillId="5" borderId="5" xfId="0" applyNumberFormat="1" applyFont="1" applyFill="1" applyBorder="1"/>
    <xf numFmtId="0" fontId="10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8" fontId="0" fillId="0" borderId="1" xfId="0" applyNumberFormat="1" applyBorder="1"/>
    <xf numFmtId="0" fontId="11" fillId="8" borderId="0" xfId="0" applyFont="1" applyFill="1"/>
    <xf numFmtId="0" fontId="0" fillId="9" borderId="1" xfId="0" applyFill="1" applyBorder="1"/>
    <xf numFmtId="0" fontId="12" fillId="10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10" borderId="7" xfId="0" applyFont="1" applyFill="1" applyBorder="1" applyAlignment="1">
      <alignment horizontal="center"/>
    </xf>
    <xf numFmtId="14" fontId="15" fillId="0" borderId="7" xfId="0" applyNumberFormat="1" applyFont="1" applyBorder="1" applyAlignment="1">
      <alignment horizontal="center"/>
    </xf>
    <xf numFmtId="0" fontId="16" fillId="10" borderId="7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Border="1"/>
    <xf numFmtId="1" fontId="8" fillId="0" borderId="0" xfId="0" applyNumberFormat="1" applyFont="1"/>
    <xf numFmtId="18" fontId="8" fillId="0" borderId="1" xfId="0" applyNumberFormat="1" applyFont="1" applyBorder="1"/>
    <xf numFmtId="166" fontId="8" fillId="0" borderId="1" xfId="0" applyNumberFormat="1" applyFont="1" applyBorder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55CE-4F7F-4DD6-9A5B-7B45EAFFBBF6}">
  <sheetPr codeName="Sheet2"/>
  <dimension ref="A1:N43"/>
  <sheetViews>
    <sheetView topLeftCell="D1" zoomScale="190" zoomScaleNormal="130" workbookViewId="0">
      <selection activeCell="J1" sqref="J1:N1048576"/>
    </sheetView>
  </sheetViews>
  <sheetFormatPr baseColWidth="10" defaultColWidth="9.5" defaultRowHeight="15" x14ac:dyDescent="0.2"/>
  <cols>
    <col min="2" max="2" width="19.1640625" bestFit="1" customWidth="1"/>
    <col min="3" max="3" width="10.5" bestFit="1" customWidth="1"/>
    <col min="4" max="4" width="11.1640625" bestFit="1" customWidth="1"/>
    <col min="5" max="5" width="4.1640625" bestFit="1" customWidth="1"/>
    <col min="6" max="6" width="13" bestFit="1" customWidth="1"/>
    <col min="9" max="9" width="13" customWidth="1"/>
    <col min="10" max="10" width="16" bestFit="1" customWidth="1"/>
  </cols>
  <sheetData>
    <row r="1" spans="1:14" s="10" customFormat="1" x14ac:dyDescent="0.2">
      <c r="A1" s="10" t="s">
        <v>31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 x14ac:dyDescent="0.2">
      <c r="J2" t="s">
        <v>5</v>
      </c>
      <c r="K2" t="s">
        <v>6</v>
      </c>
      <c r="L2">
        <v>44574</v>
      </c>
      <c r="M2">
        <v>17</v>
      </c>
      <c r="N2">
        <v>132522</v>
      </c>
    </row>
    <row r="3" spans="1:14" x14ac:dyDescent="0.2">
      <c r="J3" s="63" t="s">
        <v>5</v>
      </c>
      <c r="K3" s="63" t="s">
        <v>7</v>
      </c>
      <c r="L3" s="63">
        <v>44208</v>
      </c>
      <c r="M3" s="63">
        <v>16</v>
      </c>
      <c r="N3" s="63">
        <v>123919</v>
      </c>
    </row>
    <row r="4" spans="1:14" x14ac:dyDescent="0.2">
      <c r="J4" t="s">
        <v>5</v>
      </c>
      <c r="K4" t="s">
        <v>6</v>
      </c>
      <c r="L4">
        <v>43841</v>
      </c>
      <c r="M4">
        <v>14</v>
      </c>
      <c r="N4">
        <v>120131</v>
      </c>
    </row>
    <row r="5" spans="1:14" s="10" customFormat="1" x14ac:dyDescent="0.2">
      <c r="A5" s="10" t="s">
        <v>30</v>
      </c>
      <c r="I5"/>
      <c r="J5" t="s">
        <v>8</v>
      </c>
      <c r="K5" t="s">
        <v>11</v>
      </c>
      <c r="L5">
        <v>44577</v>
      </c>
      <c r="M5">
        <v>18</v>
      </c>
      <c r="N5">
        <v>119780</v>
      </c>
    </row>
    <row r="6" spans="1:14" x14ac:dyDescent="0.2">
      <c r="J6" t="s">
        <v>8</v>
      </c>
      <c r="K6" t="s">
        <v>10</v>
      </c>
      <c r="L6">
        <v>44211</v>
      </c>
      <c r="M6">
        <v>14</v>
      </c>
      <c r="N6">
        <v>102671</v>
      </c>
    </row>
    <row r="7" spans="1:14" x14ac:dyDescent="0.2">
      <c r="J7" t="s">
        <v>8</v>
      </c>
      <c r="K7" t="s">
        <v>9</v>
      </c>
      <c r="L7">
        <v>43844</v>
      </c>
      <c r="M7">
        <v>10</v>
      </c>
      <c r="N7">
        <v>149433</v>
      </c>
    </row>
    <row r="8" spans="1:1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J8" t="s">
        <v>12</v>
      </c>
      <c r="K8" t="s">
        <v>6</v>
      </c>
      <c r="L8">
        <v>43847</v>
      </c>
      <c r="M8">
        <v>15</v>
      </c>
      <c r="N8">
        <v>148762</v>
      </c>
    </row>
    <row r="9" spans="1:14" x14ac:dyDescent="0.2">
      <c r="B9" s="5" t="s">
        <v>14</v>
      </c>
      <c r="C9" s="5" t="s">
        <v>11</v>
      </c>
      <c r="D9" s="6">
        <v>43852</v>
      </c>
      <c r="E9" s="5">
        <v>10</v>
      </c>
      <c r="F9" s="7">
        <v>137853</v>
      </c>
      <c r="J9" t="s">
        <v>12</v>
      </c>
      <c r="K9" t="s">
        <v>6</v>
      </c>
      <c r="L9">
        <v>44580</v>
      </c>
      <c r="M9">
        <v>15</v>
      </c>
      <c r="N9">
        <v>121464</v>
      </c>
    </row>
    <row r="10" spans="1:14" x14ac:dyDescent="0.2">
      <c r="B10" s="2" t="s">
        <v>14</v>
      </c>
      <c r="C10" s="2" t="s">
        <v>6</v>
      </c>
      <c r="D10" s="3">
        <v>43853</v>
      </c>
      <c r="E10" s="2">
        <v>12</v>
      </c>
      <c r="F10" s="4">
        <v>132117</v>
      </c>
      <c r="J10" t="s">
        <v>12</v>
      </c>
      <c r="K10" t="s">
        <v>7</v>
      </c>
      <c r="L10">
        <v>44214</v>
      </c>
      <c r="M10">
        <v>14</v>
      </c>
      <c r="N10">
        <v>123919</v>
      </c>
    </row>
    <row r="11" spans="1:14" x14ac:dyDescent="0.2">
      <c r="B11" s="5" t="s">
        <v>14</v>
      </c>
      <c r="C11" s="5" t="s">
        <v>7</v>
      </c>
      <c r="D11" s="6">
        <v>44220</v>
      </c>
      <c r="E11" s="5">
        <v>20</v>
      </c>
      <c r="F11" s="7">
        <v>106470</v>
      </c>
      <c r="J11" t="s">
        <v>13</v>
      </c>
      <c r="K11" t="s">
        <v>9</v>
      </c>
      <c r="L11">
        <v>43850</v>
      </c>
      <c r="M11">
        <v>16</v>
      </c>
      <c r="N11">
        <v>143686</v>
      </c>
    </row>
    <row r="12" spans="1:14" x14ac:dyDescent="0.2">
      <c r="B12" s="2" t="s">
        <v>14</v>
      </c>
      <c r="C12" s="2" t="s">
        <v>6</v>
      </c>
      <c r="D12" s="3">
        <v>44586</v>
      </c>
      <c r="E12" s="2">
        <v>13</v>
      </c>
      <c r="F12" s="4">
        <v>136030</v>
      </c>
      <c r="J12" t="s">
        <v>13</v>
      </c>
      <c r="K12" t="s">
        <v>10</v>
      </c>
      <c r="L12">
        <v>44217</v>
      </c>
      <c r="M12">
        <v>10</v>
      </c>
      <c r="N12">
        <v>105918</v>
      </c>
    </row>
    <row r="13" spans="1:14" x14ac:dyDescent="0.2">
      <c r="B13" s="5" t="s">
        <v>13</v>
      </c>
      <c r="C13" s="5" t="s">
        <v>9</v>
      </c>
      <c r="D13" s="6">
        <v>43850</v>
      </c>
      <c r="E13" s="5">
        <v>16</v>
      </c>
      <c r="F13" s="7">
        <v>143686</v>
      </c>
      <c r="J13" t="s">
        <v>14</v>
      </c>
      <c r="K13" t="s">
        <v>7</v>
      </c>
      <c r="L13">
        <v>44220</v>
      </c>
      <c r="M13">
        <v>20</v>
      </c>
      <c r="N13">
        <v>106470</v>
      </c>
    </row>
    <row r="14" spans="1:14" x14ac:dyDescent="0.2">
      <c r="B14" s="2" t="s">
        <v>13</v>
      </c>
      <c r="C14" s="2" t="s">
        <v>10</v>
      </c>
      <c r="D14" s="3">
        <v>44217</v>
      </c>
      <c r="E14" s="2">
        <v>10</v>
      </c>
      <c r="F14" s="4">
        <v>105918</v>
      </c>
      <c r="J14" t="s">
        <v>14</v>
      </c>
      <c r="K14" t="s">
        <v>6</v>
      </c>
      <c r="L14">
        <v>44586</v>
      </c>
      <c r="M14">
        <v>13</v>
      </c>
      <c r="N14">
        <v>136030</v>
      </c>
    </row>
    <row r="15" spans="1:14" x14ac:dyDescent="0.2">
      <c r="B15" s="2" t="s">
        <v>12</v>
      </c>
      <c r="C15" s="2" t="s">
        <v>6</v>
      </c>
      <c r="D15" s="3">
        <v>43847</v>
      </c>
      <c r="E15" s="2">
        <v>15</v>
      </c>
      <c r="F15" s="4">
        <v>148762</v>
      </c>
      <c r="J15" t="s">
        <v>14</v>
      </c>
      <c r="K15" t="s">
        <v>6</v>
      </c>
      <c r="L15">
        <v>43853</v>
      </c>
      <c r="M15">
        <v>12</v>
      </c>
      <c r="N15">
        <v>132117</v>
      </c>
    </row>
    <row r="16" spans="1:14" x14ac:dyDescent="0.2">
      <c r="B16" s="5" t="s">
        <v>12</v>
      </c>
      <c r="C16" s="5" t="s">
        <v>7</v>
      </c>
      <c r="D16" s="6">
        <v>44214</v>
      </c>
      <c r="E16" s="5">
        <v>14</v>
      </c>
      <c r="F16" s="7">
        <v>123919</v>
      </c>
      <c r="J16" t="s">
        <v>14</v>
      </c>
      <c r="K16" t="s">
        <v>11</v>
      </c>
      <c r="L16">
        <v>43852</v>
      </c>
      <c r="M16">
        <v>10</v>
      </c>
      <c r="N16">
        <v>137853</v>
      </c>
    </row>
    <row r="17" spans="1:10" x14ac:dyDescent="0.2">
      <c r="B17" s="2" t="s">
        <v>12</v>
      </c>
      <c r="C17" s="2" t="s">
        <v>6</v>
      </c>
      <c r="D17" s="3">
        <v>44580</v>
      </c>
      <c r="E17" s="2">
        <v>15</v>
      </c>
      <c r="F17" s="4">
        <v>121464</v>
      </c>
      <c r="J17" t="s">
        <v>525</v>
      </c>
    </row>
    <row r="18" spans="1:10" x14ac:dyDescent="0.2">
      <c r="B18" s="5" t="s">
        <v>8</v>
      </c>
      <c r="C18" s="5" t="s">
        <v>9</v>
      </c>
      <c r="D18" s="6">
        <v>43844</v>
      </c>
      <c r="E18" s="5">
        <v>10</v>
      </c>
      <c r="F18" s="7">
        <v>149433</v>
      </c>
    </row>
    <row r="19" spans="1:10" x14ac:dyDescent="0.2">
      <c r="B19" s="2" t="s">
        <v>8</v>
      </c>
      <c r="C19" s="2" t="s">
        <v>10</v>
      </c>
      <c r="D19" s="3">
        <v>44211</v>
      </c>
      <c r="E19" s="2">
        <v>14</v>
      </c>
      <c r="F19" s="4">
        <v>102671</v>
      </c>
    </row>
    <row r="20" spans="1:10" x14ac:dyDescent="0.2">
      <c r="B20" s="5" t="s">
        <v>8</v>
      </c>
      <c r="C20" s="5" t="s">
        <v>11</v>
      </c>
      <c r="D20" s="6">
        <v>44577</v>
      </c>
      <c r="E20" s="5">
        <v>18</v>
      </c>
      <c r="F20" s="7">
        <v>119780</v>
      </c>
    </row>
    <row r="21" spans="1:10" x14ac:dyDescent="0.2">
      <c r="B21" s="2" t="s">
        <v>5</v>
      </c>
      <c r="C21" s="2" t="s">
        <v>6</v>
      </c>
      <c r="D21" s="3">
        <v>43841</v>
      </c>
      <c r="E21" s="2">
        <v>14</v>
      </c>
      <c r="F21" s="4">
        <v>120131</v>
      </c>
    </row>
    <row r="22" spans="1:10" x14ac:dyDescent="0.2">
      <c r="B22" s="5" t="s">
        <v>5</v>
      </c>
      <c r="C22" s="5" t="s">
        <v>7</v>
      </c>
      <c r="D22" s="6">
        <v>44208</v>
      </c>
      <c r="E22" s="5">
        <v>16</v>
      </c>
      <c r="F22" s="7">
        <v>123919</v>
      </c>
    </row>
    <row r="23" spans="1:10" x14ac:dyDescent="0.2">
      <c r="B23" s="2" t="s">
        <v>5</v>
      </c>
      <c r="C23" s="2" t="s">
        <v>6</v>
      </c>
      <c r="D23" s="3">
        <v>44574</v>
      </c>
      <c r="E23" s="2">
        <v>17</v>
      </c>
      <c r="F23" s="4">
        <v>132522</v>
      </c>
    </row>
    <row r="25" spans="1:10" s="10" customFormat="1" x14ac:dyDescent="0.2">
      <c r="A25" s="10" t="s">
        <v>32</v>
      </c>
    </row>
    <row r="27" spans="1:10" s="9" customFormat="1" x14ac:dyDescent="0.2">
      <c r="A27" s="9" t="s">
        <v>524</v>
      </c>
    </row>
    <row r="28" spans="1:10" x14ac:dyDescent="0.2">
      <c r="B28" s="1" t="s">
        <v>0</v>
      </c>
      <c r="C28" s="1" t="s">
        <v>1</v>
      </c>
      <c r="D28" s="1" t="s">
        <v>2</v>
      </c>
      <c r="E28" s="1" t="s">
        <v>3</v>
      </c>
      <c r="F28" s="1" t="s">
        <v>4</v>
      </c>
    </row>
    <row r="29" spans="1:10" x14ac:dyDescent="0.2">
      <c r="A29" cm="1">
        <f t="array" ref="A29:A43">_xlfn.SEQUENCE(COUNTA(C29:C46),1,1,1)</f>
        <v>1</v>
      </c>
      <c r="B29" t="str" cm="1">
        <f t="array" ref="B29:F43">_xlfn.SORTBY(B9:F23,B9:B23,1,E9:E23,-1)</f>
        <v>Avalon Interactive</v>
      </c>
      <c r="C29" t="str">
        <v>Shooter</v>
      </c>
      <c r="D29">
        <v>44574</v>
      </c>
      <c r="E29">
        <v>17</v>
      </c>
      <c r="F29">
        <v>132522</v>
      </c>
    </row>
    <row r="30" spans="1:10" s="63" customFormat="1" x14ac:dyDescent="0.2">
      <c r="A30" s="63">
        <v>2</v>
      </c>
      <c r="B30" s="63" t="str">
        <v>Avalon Interactive</v>
      </c>
      <c r="C30" s="63" t="str">
        <v>Puzzle</v>
      </c>
      <c r="D30" s="63">
        <v>44208</v>
      </c>
      <c r="E30" s="63">
        <v>16</v>
      </c>
      <c r="F30" s="63">
        <v>123919</v>
      </c>
    </row>
    <row r="31" spans="1:10" x14ac:dyDescent="0.2">
      <c r="A31">
        <v>3</v>
      </c>
      <c r="B31" t="str">
        <v>Avalon Interactive</v>
      </c>
      <c r="C31" t="str">
        <v>Shooter</v>
      </c>
      <c r="D31">
        <v>43841</v>
      </c>
      <c r="E31">
        <v>14</v>
      </c>
      <c r="F31">
        <v>120131</v>
      </c>
    </row>
    <row r="32" spans="1:10" x14ac:dyDescent="0.2">
      <c r="A32">
        <v>4</v>
      </c>
      <c r="B32" t="str">
        <v>Avanquest</v>
      </c>
      <c r="C32" t="str">
        <v>Sports</v>
      </c>
      <c r="D32">
        <v>44577</v>
      </c>
      <c r="E32">
        <v>18</v>
      </c>
      <c r="F32">
        <v>119780</v>
      </c>
    </row>
    <row r="33" spans="1:6" x14ac:dyDescent="0.2">
      <c r="A33">
        <v>5</v>
      </c>
      <c r="B33" t="str">
        <v>Avanquest</v>
      </c>
      <c r="C33" t="str">
        <v>Racing</v>
      </c>
      <c r="D33">
        <v>44211</v>
      </c>
      <c r="E33">
        <v>14</v>
      </c>
      <c r="F33">
        <v>102671</v>
      </c>
    </row>
    <row r="34" spans="1:6" x14ac:dyDescent="0.2">
      <c r="A34">
        <v>6</v>
      </c>
      <c r="B34" t="str">
        <v>Avanquest</v>
      </c>
      <c r="C34" t="str">
        <v>Simulation</v>
      </c>
      <c r="D34">
        <v>43844</v>
      </c>
      <c r="E34">
        <v>10</v>
      </c>
      <c r="F34">
        <v>149433</v>
      </c>
    </row>
    <row r="35" spans="1:6" x14ac:dyDescent="0.2">
      <c r="A35">
        <v>7</v>
      </c>
      <c r="B35" t="str">
        <v>Avanquest Software</v>
      </c>
      <c r="C35" t="str">
        <v>Shooter</v>
      </c>
      <c r="D35">
        <v>43847</v>
      </c>
      <c r="E35">
        <v>15</v>
      </c>
      <c r="F35">
        <v>148762</v>
      </c>
    </row>
    <row r="36" spans="1:6" x14ac:dyDescent="0.2">
      <c r="A36">
        <v>8</v>
      </c>
      <c r="B36" t="str">
        <v>Avanquest Software</v>
      </c>
      <c r="C36" t="str">
        <v>Shooter</v>
      </c>
      <c r="D36">
        <v>44580</v>
      </c>
      <c r="E36">
        <v>15</v>
      </c>
      <c r="F36">
        <v>121464</v>
      </c>
    </row>
    <row r="37" spans="1:6" x14ac:dyDescent="0.2">
      <c r="A37">
        <v>9</v>
      </c>
      <c r="B37" t="str">
        <v>Avanquest Software</v>
      </c>
      <c r="C37" t="str">
        <v>Puzzle</v>
      </c>
      <c r="D37">
        <v>44214</v>
      </c>
      <c r="E37">
        <v>14</v>
      </c>
      <c r="F37">
        <v>123919</v>
      </c>
    </row>
    <row r="38" spans="1:6" x14ac:dyDescent="0.2">
      <c r="A38">
        <v>10</v>
      </c>
      <c r="B38" t="str">
        <v>Berkeley</v>
      </c>
      <c r="C38" t="str">
        <v>Simulation</v>
      </c>
      <c r="D38">
        <v>43850</v>
      </c>
      <c r="E38">
        <v>16</v>
      </c>
      <c r="F38">
        <v>143686</v>
      </c>
    </row>
    <row r="39" spans="1:6" x14ac:dyDescent="0.2">
      <c r="A39">
        <v>11</v>
      </c>
      <c r="B39" t="str">
        <v>Berkeley</v>
      </c>
      <c r="C39" t="str">
        <v>Racing</v>
      </c>
      <c r="D39">
        <v>44217</v>
      </c>
      <c r="E39">
        <v>10</v>
      </c>
      <c r="F39">
        <v>105918</v>
      </c>
    </row>
    <row r="40" spans="1:6" x14ac:dyDescent="0.2">
      <c r="A40">
        <v>12</v>
      </c>
      <c r="B40" t="str">
        <v>Nintendo</v>
      </c>
      <c r="C40" t="str">
        <v>Puzzle</v>
      </c>
      <c r="D40">
        <v>44220</v>
      </c>
      <c r="E40">
        <v>20</v>
      </c>
      <c r="F40">
        <v>106470</v>
      </c>
    </row>
    <row r="41" spans="1:6" x14ac:dyDescent="0.2">
      <c r="A41">
        <v>13</v>
      </c>
      <c r="B41" t="str">
        <v>Nintendo</v>
      </c>
      <c r="C41" t="str">
        <v>Shooter</v>
      </c>
      <c r="D41">
        <v>44586</v>
      </c>
      <c r="E41">
        <v>13</v>
      </c>
      <c r="F41">
        <v>136030</v>
      </c>
    </row>
    <row r="42" spans="1:6" x14ac:dyDescent="0.2">
      <c r="A42">
        <v>14</v>
      </c>
      <c r="B42" t="str">
        <v>Nintendo</v>
      </c>
      <c r="C42" t="str">
        <v>Shooter</v>
      </c>
      <c r="D42">
        <v>43853</v>
      </c>
      <c r="E42">
        <v>12</v>
      </c>
      <c r="F42">
        <v>132117</v>
      </c>
    </row>
    <row r="43" spans="1:6" x14ac:dyDescent="0.2">
      <c r="A43">
        <v>15</v>
      </c>
      <c r="B43" t="str">
        <v>Nintendo</v>
      </c>
      <c r="C43" t="str">
        <v>Sports</v>
      </c>
      <c r="D43">
        <v>43852</v>
      </c>
      <c r="E43">
        <v>10</v>
      </c>
      <c r="F43">
        <v>137853</v>
      </c>
    </row>
  </sheetData>
  <sortState xmlns:xlrd2="http://schemas.microsoft.com/office/spreadsheetml/2017/richdata2" ref="B9:F23">
    <sortCondition descending="1" ref="B9:B23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39D0-6498-4568-A67D-F30669192F36}">
  <sheetPr codeName="Sheet3"/>
  <dimension ref="A3:H34"/>
  <sheetViews>
    <sheetView showGridLines="0" zoomScale="200" zoomScaleNormal="115" workbookViewId="0">
      <selection activeCell="B17" sqref="B17"/>
    </sheetView>
  </sheetViews>
  <sheetFormatPr baseColWidth="10" defaultColWidth="8.83203125" defaultRowHeight="15" x14ac:dyDescent="0.2"/>
  <cols>
    <col min="1" max="1" width="12.1640625" bestFit="1" customWidth="1"/>
    <col min="2" max="4" width="22.5" customWidth="1"/>
    <col min="6" max="8" width="23" customWidth="1"/>
  </cols>
  <sheetData>
    <row r="3" spans="1:8" x14ac:dyDescent="0.2">
      <c r="A3" t="s">
        <v>26</v>
      </c>
      <c r="F3" t="s">
        <v>27</v>
      </c>
    </row>
    <row r="4" spans="1:8" x14ac:dyDescent="0.2">
      <c r="A4" s="1" t="s">
        <v>16</v>
      </c>
      <c r="B4" s="1" t="s">
        <v>22</v>
      </c>
      <c r="C4" s="1" t="s">
        <v>23</v>
      </c>
      <c r="D4" s="1" t="s">
        <v>15</v>
      </c>
      <c r="F4" s="1" t="s">
        <v>16</v>
      </c>
      <c r="G4" s="1" t="s">
        <v>22</v>
      </c>
      <c r="H4" s="1" t="s">
        <v>23</v>
      </c>
    </row>
    <row r="5" spans="1:8" x14ac:dyDescent="0.2">
      <c r="A5" s="5" t="s">
        <v>18</v>
      </c>
      <c r="B5" s="5">
        <v>1808</v>
      </c>
      <c r="C5" s="5">
        <v>1101</v>
      </c>
      <c r="D5" s="5">
        <v>1041</v>
      </c>
      <c r="F5" s="5" t="s">
        <v>17</v>
      </c>
      <c r="G5" s="5">
        <v>1011</v>
      </c>
      <c r="H5" s="5">
        <v>1832</v>
      </c>
    </row>
    <row r="6" spans="1:8" x14ac:dyDescent="0.2">
      <c r="A6" s="5" t="s">
        <v>21</v>
      </c>
      <c r="B6" s="5">
        <v>1842</v>
      </c>
      <c r="C6" s="5">
        <v>1253</v>
      </c>
      <c r="D6" s="5">
        <v>1608</v>
      </c>
      <c r="F6" s="5" t="s">
        <v>18</v>
      </c>
      <c r="G6" s="5">
        <v>1311</v>
      </c>
      <c r="H6" s="5">
        <v>1706</v>
      </c>
    </row>
    <row r="7" spans="1:8" x14ac:dyDescent="0.2">
      <c r="A7" s="5" t="s">
        <v>20</v>
      </c>
      <c r="B7" s="5">
        <v>1031</v>
      </c>
      <c r="C7" s="5">
        <v>1448</v>
      </c>
      <c r="D7" s="5">
        <v>1501</v>
      </c>
      <c r="F7" s="5" t="s">
        <v>19</v>
      </c>
      <c r="G7" s="5">
        <v>1553</v>
      </c>
      <c r="H7" s="5">
        <v>1649</v>
      </c>
    </row>
    <row r="8" spans="1:8" x14ac:dyDescent="0.2">
      <c r="A8" s="5" t="s">
        <v>17</v>
      </c>
      <c r="B8" s="5">
        <v>1401</v>
      </c>
      <c r="C8" s="5">
        <v>1597</v>
      </c>
      <c r="D8" s="5">
        <v>1847</v>
      </c>
      <c r="F8" s="5" t="s">
        <v>21</v>
      </c>
      <c r="G8" s="5">
        <v>1880</v>
      </c>
      <c r="H8" s="5">
        <v>1168</v>
      </c>
    </row>
    <row r="9" spans="1:8" x14ac:dyDescent="0.2">
      <c r="A9" s="59" t="s">
        <v>19</v>
      </c>
      <c r="B9" s="5">
        <v>1094</v>
      </c>
      <c r="C9" s="5">
        <v>1801</v>
      </c>
      <c r="D9" s="5">
        <v>1401</v>
      </c>
      <c r="F9" s="5" t="s">
        <v>20</v>
      </c>
      <c r="G9" s="5">
        <v>1826</v>
      </c>
      <c r="H9" s="5">
        <v>1187</v>
      </c>
    </row>
    <row r="11" spans="1:8" s="10" customFormat="1" x14ac:dyDescent="0.2">
      <c r="A11" s="10" t="s">
        <v>35</v>
      </c>
    </row>
    <row r="12" spans="1:8" s="10" customFormat="1" x14ac:dyDescent="0.2">
      <c r="A12" s="10" t="s">
        <v>33</v>
      </c>
      <c r="B12" s="10">
        <f>HLOOKUP(B4,A4:D9,5,FALSE)</f>
        <v>1401</v>
      </c>
      <c r="D12" s="10" t="s">
        <v>34</v>
      </c>
      <c r="E12" s="10">
        <f>VLOOKUP(A8,A4:D9,4,FALSE)</f>
        <v>1847</v>
      </c>
    </row>
    <row r="14" spans="1:8" x14ac:dyDescent="0.2">
      <c r="A14" s="1" t="s">
        <v>16</v>
      </c>
      <c r="B14" s="1" t="s">
        <v>22</v>
      </c>
      <c r="D14" s="1" t="s">
        <v>16</v>
      </c>
      <c r="E14" s="1" t="s">
        <v>15</v>
      </c>
    </row>
    <row r="15" spans="1:8" x14ac:dyDescent="0.2">
      <c r="A15" s="11" t="s">
        <v>21</v>
      </c>
      <c r="B15" s="5">
        <f>HLOOKUP("Rajj",A4:D9,2,TRUE)</f>
        <v>1808</v>
      </c>
      <c r="D15" s="11" t="s">
        <v>19</v>
      </c>
      <c r="E15" s="5"/>
    </row>
    <row r="16" spans="1:8" x14ac:dyDescent="0.2">
      <c r="A16" s="12"/>
      <c r="D16" s="12"/>
    </row>
    <row r="17" spans="1:6" x14ac:dyDescent="0.2">
      <c r="A17" s="12"/>
      <c r="D17" s="12">
        <v>1401</v>
      </c>
      <c r="E17" t="str">
        <f>_xlfn.XLOOKUP(D17,D5:D9,A5:A9)</f>
        <v>Wed</v>
      </c>
    </row>
    <row r="18" spans="1:6" s="10" customFormat="1" x14ac:dyDescent="0.2">
      <c r="A18" s="13" t="s">
        <v>36</v>
      </c>
      <c r="D18" s="13"/>
    </row>
    <row r="20" spans="1:6" x14ac:dyDescent="0.2">
      <c r="A20" s="1" t="s">
        <v>16</v>
      </c>
      <c r="B20" s="1" t="s">
        <v>25</v>
      </c>
      <c r="D20" s="5" t="s">
        <v>26</v>
      </c>
      <c r="F20" s="5" t="s">
        <v>27</v>
      </c>
    </row>
    <row r="21" spans="1:6" x14ac:dyDescent="0.2">
      <c r="A21" s="5"/>
      <c r="B21" s="5"/>
      <c r="D21" s="5"/>
      <c r="F21" s="5"/>
    </row>
    <row r="23" spans="1:6" s="10" customFormat="1" x14ac:dyDescent="0.2">
      <c r="A23" s="10" t="s">
        <v>37</v>
      </c>
    </row>
    <row r="25" spans="1:6" x14ac:dyDescent="0.2">
      <c r="A25" s="1" t="s">
        <v>16</v>
      </c>
      <c r="B25" s="1" t="s">
        <v>24</v>
      </c>
      <c r="D25" s="1" t="s">
        <v>28</v>
      </c>
      <c r="E25" s="1" t="s">
        <v>24</v>
      </c>
    </row>
    <row r="26" spans="1:6" x14ac:dyDescent="0.2">
      <c r="A26" s="5" t="s">
        <v>19</v>
      </c>
      <c r="B26" s="5">
        <f>MATCH(A26,A5:A9)</f>
        <v>5</v>
      </c>
      <c r="D26">
        <v>1400</v>
      </c>
    </row>
    <row r="29" spans="1:6" s="10" customFormat="1" x14ac:dyDescent="0.2">
      <c r="A29" s="10" t="s">
        <v>38</v>
      </c>
    </row>
    <row r="33" spans="1:2" x14ac:dyDescent="0.2">
      <c r="B33" t="s">
        <v>23</v>
      </c>
    </row>
    <row r="34" spans="1:2" x14ac:dyDescent="0.2">
      <c r="A34">
        <v>1448</v>
      </c>
      <c r="B34" t="str">
        <f>_xlfn.XLOOKUP(A34,C5:C9,A5:A9)</f>
        <v>Thu</v>
      </c>
    </row>
  </sheetData>
  <sortState xmlns:xlrd2="http://schemas.microsoft.com/office/spreadsheetml/2017/richdata2" ref="A5:D9">
    <sortCondition ref="C5:C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BB04-6F8C-D244-93E9-B984B87EA41B}">
  <dimension ref="A2:J76"/>
  <sheetViews>
    <sheetView topLeftCell="A77" zoomScale="236" zoomScaleNormal="130" workbookViewId="0">
      <selection activeCell="D53" sqref="D53"/>
    </sheetView>
  </sheetViews>
  <sheetFormatPr baseColWidth="10" defaultRowHeight="15" x14ac:dyDescent="0.2"/>
  <cols>
    <col min="2" max="2" width="14.5" bestFit="1" customWidth="1"/>
    <col min="3" max="3" width="24.1640625" customWidth="1"/>
    <col min="4" max="4" width="15.6640625" bestFit="1" customWidth="1"/>
    <col min="5" max="5" width="13.33203125" bestFit="1" customWidth="1"/>
    <col min="6" max="6" width="22.6640625" bestFit="1" customWidth="1"/>
    <col min="8" max="8" width="18.33203125" bestFit="1" customWidth="1"/>
    <col min="10" max="10" width="5.1640625" bestFit="1" customWidth="1"/>
  </cols>
  <sheetData>
    <row r="2" spans="1:10" ht="16" x14ac:dyDescent="0.2">
      <c r="B2" s="26">
        <v>1</v>
      </c>
      <c r="C2" s="26" t="s">
        <v>71</v>
      </c>
      <c r="G2" s="15"/>
    </row>
    <row r="3" spans="1:10" ht="16" x14ac:dyDescent="0.2">
      <c r="B3" s="26"/>
      <c r="C3" s="26" t="s">
        <v>510</v>
      </c>
      <c r="G3" s="15"/>
    </row>
    <row r="4" spans="1:10" ht="16" x14ac:dyDescent="0.2">
      <c r="B4" s="26"/>
      <c r="C4" s="26" t="s">
        <v>72</v>
      </c>
      <c r="G4" s="15"/>
    </row>
    <row r="5" spans="1:10" x14ac:dyDescent="0.2">
      <c r="G5" s="15"/>
    </row>
    <row r="6" spans="1:10" x14ac:dyDescent="0.2">
      <c r="A6" s="14"/>
      <c r="B6" s="14" t="s">
        <v>39</v>
      </c>
      <c r="C6" s="16">
        <f ca="1">TODAY()</f>
        <v>45859</v>
      </c>
      <c r="D6" s="14"/>
      <c r="E6" s="14"/>
      <c r="F6" s="14"/>
      <c r="G6" s="17"/>
      <c r="H6" s="17"/>
      <c r="I6" s="14"/>
      <c r="J6" s="14"/>
    </row>
    <row r="7" spans="1:10" x14ac:dyDescent="0.2">
      <c r="A7" s="14"/>
      <c r="B7" s="14"/>
      <c r="C7" s="14"/>
      <c r="D7" s="14"/>
      <c r="E7" s="14"/>
      <c r="F7" s="14"/>
      <c r="G7" s="17"/>
      <c r="H7" s="17"/>
      <c r="I7" s="14"/>
      <c r="J7" s="14"/>
    </row>
    <row r="8" spans="1:10" x14ac:dyDescent="0.2">
      <c r="A8" s="14"/>
      <c r="B8" s="14" t="s">
        <v>40</v>
      </c>
      <c r="C8" s="16">
        <f ca="1">TODAY()</f>
        <v>45859</v>
      </c>
      <c r="D8" s="14" t="s">
        <v>41</v>
      </c>
      <c r="E8" s="16">
        <f ca="1">C8+10</f>
        <v>45869</v>
      </c>
      <c r="F8" s="17">
        <f ca="1">TODAY()+10</f>
        <v>45869</v>
      </c>
      <c r="G8" s="14"/>
      <c r="H8" s="17"/>
      <c r="I8" s="14"/>
      <c r="J8" s="14"/>
    </row>
    <row r="9" spans="1:10" x14ac:dyDescent="0.2">
      <c r="A9" s="14"/>
      <c r="B9" s="14" t="s">
        <v>42</v>
      </c>
      <c r="C9" s="18">
        <f ca="1">NOW()</f>
        <v>45859.788932986114</v>
      </c>
      <c r="D9" s="14" t="s">
        <v>43</v>
      </c>
      <c r="E9" s="18">
        <f ca="1">C9+0.5</f>
        <v>45860.288932986114</v>
      </c>
      <c r="F9" s="14"/>
      <c r="G9" s="14"/>
      <c r="H9" s="17"/>
      <c r="I9" s="14"/>
      <c r="J9" s="14"/>
    </row>
    <row r="10" spans="1:10" x14ac:dyDescent="0.2">
      <c r="A10" s="14"/>
      <c r="B10" s="14"/>
      <c r="C10" s="27"/>
      <c r="D10" s="14"/>
      <c r="E10" s="28"/>
      <c r="F10" s="14"/>
      <c r="G10" s="14"/>
      <c r="H10" s="17"/>
      <c r="I10" s="14"/>
      <c r="J10" s="14"/>
    </row>
    <row r="11" spans="1:10" s="10" customFormat="1" x14ac:dyDescent="0.2">
      <c r="A11" s="29" t="s">
        <v>73</v>
      </c>
      <c r="B11" s="29"/>
      <c r="C11" s="16"/>
      <c r="D11" s="29"/>
      <c r="E11" s="16"/>
      <c r="F11" s="29"/>
      <c r="G11" s="29"/>
      <c r="H11" s="32"/>
      <c r="I11" s="29"/>
      <c r="J11" s="29"/>
    </row>
    <row r="12" spans="1:10" x14ac:dyDescent="0.2">
      <c r="A12" s="14"/>
      <c r="B12" s="14"/>
      <c r="C12" s="27"/>
      <c r="D12" s="14"/>
      <c r="E12" s="28"/>
      <c r="F12" s="14"/>
      <c r="G12" s="14"/>
      <c r="H12" s="17"/>
      <c r="I12" s="14"/>
      <c r="J12" s="14"/>
    </row>
    <row r="13" spans="1:10" s="10" customFormat="1" x14ac:dyDescent="0.2">
      <c r="A13" s="29" t="s">
        <v>74</v>
      </c>
      <c r="B13" s="29"/>
      <c r="C13" s="30"/>
      <c r="D13" s="29"/>
      <c r="E13" s="31"/>
      <c r="F13" s="29"/>
      <c r="G13" s="29"/>
      <c r="H13" s="32"/>
      <c r="I13" s="29"/>
      <c r="J13" s="29"/>
    </row>
    <row r="14" spans="1:10" x14ac:dyDescent="0.2">
      <c r="A14" s="14"/>
      <c r="B14" s="14"/>
      <c r="C14" s="14"/>
      <c r="D14" s="14"/>
      <c r="E14" s="14"/>
      <c r="F14" s="60"/>
      <c r="G14" s="14"/>
      <c r="H14" s="17"/>
      <c r="I14" s="14"/>
      <c r="J14" s="14"/>
    </row>
    <row r="15" spans="1:10" x14ac:dyDescent="0.2">
      <c r="A15" s="14"/>
      <c r="B15" s="14" t="s">
        <v>44</v>
      </c>
      <c r="C15" s="16">
        <v>45061</v>
      </c>
      <c r="D15" s="14"/>
      <c r="E15" s="14"/>
      <c r="F15" s="14"/>
      <c r="G15" s="14"/>
      <c r="H15" s="17"/>
      <c r="I15" s="14"/>
      <c r="J15" s="14"/>
    </row>
    <row r="16" spans="1:10" x14ac:dyDescent="0.2">
      <c r="A16" s="14"/>
      <c r="B16" s="14" t="s">
        <v>45</v>
      </c>
      <c r="C16" s="19">
        <v>45853</v>
      </c>
      <c r="D16" s="14"/>
      <c r="E16" s="14"/>
      <c r="F16" s="14"/>
      <c r="G16" s="14"/>
      <c r="H16" s="14"/>
      <c r="I16" s="14"/>
      <c r="J16" s="14"/>
    </row>
    <row r="17" spans="1:10" x14ac:dyDescent="0.2">
      <c r="A17" s="14"/>
      <c r="B17" s="14" t="s">
        <v>46</v>
      </c>
      <c r="C17" s="20">
        <f>DAY(C15)</f>
        <v>15</v>
      </c>
      <c r="D17" s="14"/>
      <c r="E17" s="14">
        <f>YEARFRAC(C15,C16)</f>
        <v>2.1666666666666665</v>
      </c>
      <c r="F17" s="14"/>
      <c r="G17" s="14"/>
      <c r="H17" s="21"/>
      <c r="I17" s="14"/>
      <c r="J17" s="14"/>
    </row>
    <row r="18" spans="1:10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s="9" customFormat="1" x14ac:dyDescent="0.2">
      <c r="A19" s="33" t="s">
        <v>512</v>
      </c>
      <c r="B19" s="33"/>
      <c r="C19" s="33"/>
      <c r="D19" s="33"/>
      <c r="E19" s="33"/>
      <c r="F19" s="33"/>
      <c r="G19" s="33"/>
      <c r="H19" s="33"/>
      <c r="I19" s="33"/>
      <c r="J19" s="33"/>
    </row>
    <row r="20" spans="1:10" s="9" customFormat="1" x14ac:dyDescent="0.2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 x14ac:dyDescent="0.2">
      <c r="A21" s="14"/>
      <c r="B21" s="23" t="s">
        <v>47</v>
      </c>
      <c r="C21" s="14"/>
      <c r="D21" s="14" t="s">
        <v>48</v>
      </c>
      <c r="E21" s="14"/>
      <c r="F21" s="14"/>
      <c r="G21" s="14"/>
      <c r="H21" s="14"/>
      <c r="I21" s="14"/>
      <c r="J21" s="14"/>
    </row>
    <row r="22" spans="1:10" x14ac:dyDescent="0.2">
      <c r="A22" s="14"/>
      <c r="B22" s="24">
        <f>NETWORKDAYS(C15,C16,D22:D23)</f>
        <v>565</v>
      </c>
      <c r="C22" s="14"/>
      <c r="D22" s="16">
        <v>45841</v>
      </c>
      <c r="E22" s="14"/>
      <c r="F22" s="14">
        <f>NETWORKDAYS.INTL(C15,C16,15)</f>
        <v>680</v>
      </c>
      <c r="G22" s="14"/>
      <c r="H22" s="14"/>
      <c r="I22" s="14"/>
      <c r="J22" s="14"/>
    </row>
    <row r="23" spans="1:10" x14ac:dyDescent="0.2">
      <c r="A23" s="14"/>
      <c r="B23" s="14"/>
      <c r="C23" s="14"/>
      <c r="D23" s="34">
        <v>45848</v>
      </c>
      <c r="E23" s="14"/>
      <c r="F23" s="14"/>
      <c r="G23" s="14"/>
      <c r="H23" s="14"/>
      <c r="I23" s="14"/>
      <c r="J23" s="14"/>
    </row>
    <row r="24" spans="1:10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x14ac:dyDescent="0.2">
      <c r="A25" s="14"/>
      <c r="B25" s="22" t="s">
        <v>49</v>
      </c>
      <c r="C25" s="22" t="s">
        <v>50</v>
      </c>
      <c r="D25" s="14"/>
      <c r="E25" s="22" t="s">
        <v>51</v>
      </c>
      <c r="F25" s="22" t="s">
        <v>50</v>
      </c>
      <c r="G25" s="14"/>
      <c r="H25" s="14"/>
      <c r="I25" s="14"/>
      <c r="J25" s="14"/>
    </row>
    <row r="26" spans="1:10" x14ac:dyDescent="0.2">
      <c r="A26" s="14"/>
      <c r="B26" s="23" t="s">
        <v>29</v>
      </c>
      <c r="C26" s="14" t="s">
        <v>52</v>
      </c>
      <c r="D26" s="14"/>
      <c r="E26" s="25" t="s">
        <v>53</v>
      </c>
      <c r="F26" s="14" t="s">
        <v>54</v>
      </c>
      <c r="G26" s="14"/>
      <c r="H26" s="14"/>
      <c r="I26" s="14"/>
      <c r="J26" s="14"/>
    </row>
    <row r="27" spans="1:10" x14ac:dyDescent="0.2">
      <c r="A27" s="14"/>
      <c r="B27" s="23">
        <v>2</v>
      </c>
      <c r="C27" s="14" t="s">
        <v>55</v>
      </c>
      <c r="D27" s="14"/>
      <c r="E27" s="25" t="s">
        <v>56</v>
      </c>
      <c r="F27" s="14" t="s">
        <v>52</v>
      </c>
      <c r="G27" s="14"/>
      <c r="H27" s="14"/>
      <c r="I27" s="14"/>
      <c r="J27" s="14"/>
    </row>
    <row r="28" spans="1:10" x14ac:dyDescent="0.2">
      <c r="A28" s="14"/>
      <c r="B28" s="23">
        <v>3</v>
      </c>
      <c r="C28" s="14" t="s">
        <v>57</v>
      </c>
      <c r="D28" s="14"/>
      <c r="E28" s="25" t="s">
        <v>58</v>
      </c>
      <c r="F28" s="14" t="s">
        <v>59</v>
      </c>
      <c r="G28" s="14"/>
      <c r="H28" s="14"/>
      <c r="I28" s="14"/>
      <c r="J28" s="14"/>
    </row>
    <row r="29" spans="1:10" x14ac:dyDescent="0.2">
      <c r="A29" s="14"/>
      <c r="B29" s="23">
        <v>4</v>
      </c>
      <c r="C29" s="14" t="s">
        <v>60</v>
      </c>
      <c r="D29" s="14"/>
      <c r="E29" s="25"/>
      <c r="F29" s="14"/>
      <c r="G29" s="14"/>
      <c r="H29" s="14"/>
      <c r="I29" s="14"/>
      <c r="J29" s="14"/>
    </row>
    <row r="30" spans="1:10" x14ac:dyDescent="0.2">
      <c r="A30" s="14"/>
      <c r="B30" s="23">
        <v>5</v>
      </c>
      <c r="C30" s="14" t="s">
        <v>61</v>
      </c>
      <c r="D30" s="14"/>
      <c r="E30" s="14"/>
      <c r="F30" s="14"/>
      <c r="G30" s="14"/>
      <c r="H30" s="14"/>
      <c r="I30" s="14"/>
      <c r="J30" s="14"/>
    </row>
    <row r="31" spans="1:10" x14ac:dyDescent="0.2">
      <c r="A31" s="14"/>
      <c r="B31" s="23">
        <v>6</v>
      </c>
      <c r="C31" s="14" t="s">
        <v>62</v>
      </c>
      <c r="D31" s="14"/>
      <c r="E31" s="14"/>
      <c r="F31" s="14"/>
      <c r="G31" s="14"/>
      <c r="H31" s="14"/>
      <c r="I31" s="14"/>
      <c r="J31" s="14"/>
    </row>
    <row r="32" spans="1:10" x14ac:dyDescent="0.2">
      <c r="A32" s="14"/>
      <c r="B32" s="23">
        <v>7</v>
      </c>
      <c r="C32" s="14" t="s">
        <v>63</v>
      </c>
      <c r="D32" s="14"/>
      <c r="E32" s="14"/>
      <c r="F32" s="14"/>
      <c r="G32" s="14"/>
      <c r="H32" s="14"/>
      <c r="I32" s="14"/>
      <c r="J32" s="14"/>
    </row>
    <row r="33" spans="1:10" x14ac:dyDescent="0.2">
      <c r="A33" s="14"/>
      <c r="B33" s="23">
        <v>11</v>
      </c>
      <c r="C33" s="14" t="s">
        <v>64</v>
      </c>
      <c r="D33" s="14"/>
      <c r="E33" s="14"/>
      <c r="F33" s="14"/>
      <c r="G33" s="14"/>
      <c r="H33" s="14"/>
      <c r="I33" s="14"/>
      <c r="J33" s="14"/>
    </row>
    <row r="34" spans="1:10" x14ac:dyDescent="0.2">
      <c r="A34" s="14"/>
      <c r="B34" s="23">
        <v>12</v>
      </c>
      <c r="C34" s="14" t="s">
        <v>65</v>
      </c>
      <c r="D34" s="14"/>
      <c r="E34" s="14"/>
      <c r="F34" s="14"/>
      <c r="G34" s="14"/>
      <c r="H34" s="14"/>
      <c r="I34" s="14"/>
      <c r="J34" s="14"/>
    </row>
    <row r="35" spans="1:10" x14ac:dyDescent="0.2">
      <c r="A35" s="14"/>
      <c r="B35" s="23">
        <v>13</v>
      </c>
      <c r="C35" s="14" t="s">
        <v>66</v>
      </c>
      <c r="D35" s="14"/>
      <c r="E35" s="14"/>
      <c r="F35" s="14"/>
      <c r="G35" s="14"/>
      <c r="H35" s="14"/>
      <c r="I35" s="14"/>
      <c r="J35" s="14"/>
    </row>
    <row r="36" spans="1:10" x14ac:dyDescent="0.2">
      <c r="A36" s="14"/>
      <c r="B36" s="23">
        <v>14</v>
      </c>
      <c r="C36" s="14" t="s">
        <v>67</v>
      </c>
      <c r="D36" s="14"/>
      <c r="E36" s="14"/>
      <c r="F36" s="14"/>
      <c r="G36" s="14"/>
      <c r="H36" s="14"/>
      <c r="I36" s="14"/>
      <c r="J36" s="14"/>
    </row>
    <row r="37" spans="1:10" x14ac:dyDescent="0.2">
      <c r="A37" s="14"/>
      <c r="B37" s="23">
        <v>15</v>
      </c>
      <c r="C37" s="14" t="s">
        <v>68</v>
      </c>
      <c r="D37" s="14"/>
      <c r="E37" s="14"/>
      <c r="F37" s="14"/>
      <c r="G37" s="14"/>
      <c r="H37" s="14"/>
      <c r="I37" s="14"/>
      <c r="J37" s="14"/>
    </row>
    <row r="38" spans="1:10" x14ac:dyDescent="0.2">
      <c r="A38" s="14"/>
      <c r="B38" s="23">
        <v>16</v>
      </c>
      <c r="C38" s="14" t="s">
        <v>69</v>
      </c>
      <c r="D38" s="14"/>
      <c r="E38" s="14"/>
      <c r="F38" s="14"/>
      <c r="G38" s="14"/>
      <c r="H38" s="14"/>
      <c r="I38" s="14"/>
      <c r="J38" s="14"/>
    </row>
    <row r="39" spans="1:10" x14ac:dyDescent="0.2">
      <c r="A39" s="14"/>
      <c r="B39" s="23">
        <v>17</v>
      </c>
      <c r="C39" s="14" t="s">
        <v>70</v>
      </c>
      <c r="D39" s="14"/>
      <c r="E39" s="14"/>
      <c r="F39" s="14"/>
      <c r="G39" s="14"/>
      <c r="H39" s="14"/>
      <c r="I39" s="14"/>
      <c r="J39" s="14"/>
    </row>
    <row r="41" spans="1:10" s="10" customFormat="1" x14ac:dyDescent="0.2">
      <c r="A41" s="10" t="s">
        <v>77</v>
      </c>
    </row>
    <row r="43" spans="1:10" x14ac:dyDescent="0.2">
      <c r="B43" s="15"/>
    </row>
    <row r="45" spans="1:10" x14ac:dyDescent="0.2">
      <c r="B45" s="1" t="s">
        <v>2</v>
      </c>
      <c r="C45" s="35">
        <f>DATE(2023,5,15)</f>
        <v>45061</v>
      </c>
    </row>
    <row r="46" spans="1:10" x14ac:dyDescent="0.2">
      <c r="B46" s="1" t="s">
        <v>75</v>
      </c>
      <c r="C46" s="8">
        <f>YEAR(C45)</f>
        <v>2023</v>
      </c>
    </row>
    <row r="47" spans="1:10" x14ac:dyDescent="0.2">
      <c r="B47" s="1" t="s">
        <v>76</v>
      </c>
      <c r="C47" s="8">
        <f>MONTH(C45)</f>
        <v>5</v>
      </c>
    </row>
    <row r="48" spans="1:10" x14ac:dyDescent="0.2">
      <c r="B48" s="1" t="s">
        <v>16</v>
      </c>
      <c r="C48" s="8">
        <f>DAY(C45)</f>
        <v>15</v>
      </c>
    </row>
    <row r="50" spans="1:10" s="10" customFormat="1" x14ac:dyDescent="0.2">
      <c r="A50" s="10" t="s">
        <v>78</v>
      </c>
    </row>
    <row r="51" spans="1:10" x14ac:dyDescent="0.2">
      <c r="A51" s="14"/>
      <c r="B51" s="14"/>
      <c r="C51" s="14"/>
      <c r="D51" s="14"/>
      <c r="E51" s="23"/>
      <c r="F51" s="14"/>
      <c r="G51" s="14"/>
      <c r="H51" s="14"/>
      <c r="I51" s="14"/>
      <c r="J51" s="14"/>
    </row>
    <row r="52" spans="1:10" x14ac:dyDescent="0.2">
      <c r="A52" s="14"/>
      <c r="B52" s="38" t="s">
        <v>44</v>
      </c>
      <c r="C52" s="36" t="s">
        <v>79</v>
      </c>
      <c r="D52" s="37" t="s">
        <v>80</v>
      </c>
      <c r="E52" s="23"/>
      <c r="F52" s="14"/>
      <c r="G52" s="14"/>
      <c r="H52" s="14"/>
      <c r="I52" s="14"/>
      <c r="J52" s="14"/>
    </row>
    <row r="53" spans="1:10" x14ac:dyDescent="0.2">
      <c r="A53" s="14"/>
      <c r="B53" s="39">
        <v>45839</v>
      </c>
      <c r="C53" s="40">
        <v>0</v>
      </c>
      <c r="D53" s="41">
        <f>EOMONTH(B53,0)</f>
        <v>45869</v>
      </c>
      <c r="E53" s="23"/>
      <c r="F53" s="14"/>
      <c r="G53" s="14"/>
      <c r="H53" s="14"/>
      <c r="I53" s="14"/>
      <c r="J53" s="14"/>
    </row>
    <row r="54" spans="1:10" x14ac:dyDescent="0.2">
      <c r="A54" s="14"/>
      <c r="B54" s="14"/>
      <c r="C54" s="40">
        <v>1</v>
      </c>
      <c r="D54" s="41">
        <f>EOMONTH(B53,1)</f>
        <v>45900</v>
      </c>
      <c r="E54" s="23"/>
      <c r="F54" s="14"/>
      <c r="G54" s="14"/>
      <c r="H54" s="14"/>
      <c r="I54" s="14"/>
      <c r="J54" s="14"/>
    </row>
    <row r="55" spans="1:10" x14ac:dyDescent="0.2">
      <c r="A55" s="14"/>
      <c r="B55" s="14"/>
      <c r="C55" s="40">
        <v>2</v>
      </c>
      <c r="D55" s="41">
        <f>EOMONTH(B53,C55)</f>
        <v>45930</v>
      </c>
      <c r="E55" s="23"/>
      <c r="F55" s="14"/>
      <c r="G55" s="14"/>
      <c r="H55" s="14"/>
      <c r="I55" s="14"/>
      <c r="J55" s="14"/>
    </row>
    <row r="56" spans="1:10" x14ac:dyDescent="0.2">
      <c r="A56" s="14"/>
      <c r="B56" s="14"/>
      <c r="C56" s="40">
        <v>-1</v>
      </c>
      <c r="D56" s="41">
        <f>EOMONTH(B53,-1)</f>
        <v>45838</v>
      </c>
      <c r="E56" s="23"/>
      <c r="F56" s="14"/>
      <c r="G56" s="14"/>
      <c r="H56" s="14"/>
      <c r="I56" s="14"/>
      <c r="J56" s="14"/>
    </row>
    <row r="57" spans="1:10" x14ac:dyDescent="0.2">
      <c r="A57" s="14"/>
      <c r="B57" s="14"/>
      <c r="C57" s="40">
        <v>6</v>
      </c>
      <c r="D57" s="41">
        <f>EOMONTH(B53,6)</f>
        <v>46053</v>
      </c>
      <c r="E57" s="23"/>
      <c r="F57" s="14"/>
      <c r="G57" s="14"/>
      <c r="H57" s="14"/>
      <c r="I57" s="14"/>
      <c r="J57" s="14"/>
    </row>
    <row r="58" spans="1:10" x14ac:dyDescent="0.2">
      <c r="A58" s="14"/>
      <c r="B58" s="14"/>
      <c r="C58" s="14"/>
      <c r="D58" s="14"/>
      <c r="E58" s="23"/>
      <c r="F58" s="14"/>
      <c r="G58" s="14"/>
      <c r="H58" s="14"/>
      <c r="I58" s="14"/>
      <c r="J58" s="14"/>
    </row>
    <row r="59" spans="1:10" s="10" customFormat="1" x14ac:dyDescent="0.2">
      <c r="A59" s="29" t="s">
        <v>81</v>
      </c>
      <c r="B59" s="29"/>
      <c r="C59" s="29"/>
      <c r="D59" s="29"/>
      <c r="E59" s="42"/>
      <c r="F59" s="29"/>
      <c r="G59" s="29"/>
      <c r="H59" s="29"/>
      <c r="I59" s="29"/>
      <c r="J59" s="29"/>
    </row>
    <row r="60" spans="1:10" x14ac:dyDescent="0.2">
      <c r="A60" s="14"/>
      <c r="B60" s="14"/>
      <c r="C60" s="14"/>
      <c r="D60" s="14"/>
      <c r="E60" s="23"/>
      <c r="F60" s="14"/>
      <c r="G60" s="14"/>
      <c r="H60" s="14"/>
      <c r="I60" s="14"/>
      <c r="J60" s="14"/>
    </row>
    <row r="61" spans="1:10" x14ac:dyDescent="0.2">
      <c r="A61" s="14"/>
      <c r="B61" s="38" t="s">
        <v>82</v>
      </c>
      <c r="C61" s="36" t="s">
        <v>83</v>
      </c>
      <c r="D61" s="37" t="s">
        <v>84</v>
      </c>
      <c r="E61" s="38" t="s">
        <v>85</v>
      </c>
      <c r="F61" s="14"/>
      <c r="G61" s="14"/>
      <c r="H61" s="14"/>
      <c r="I61" s="14"/>
      <c r="J61" s="14"/>
    </row>
    <row r="62" spans="1:10" x14ac:dyDescent="0.2">
      <c r="A62" s="14"/>
      <c r="B62" s="62">
        <f>TIME(5,30,20)</f>
        <v>0.22939814814814816</v>
      </c>
      <c r="C62" s="43">
        <f>HOUR(B62)</f>
        <v>5</v>
      </c>
      <c r="D62" s="61"/>
      <c r="E62" s="44"/>
      <c r="F62" s="14"/>
      <c r="G62" s="14"/>
      <c r="H62" s="14"/>
      <c r="I62" s="14"/>
      <c r="J62" s="14"/>
    </row>
    <row r="63" spans="1:10" x14ac:dyDescent="0.2">
      <c r="A63" s="14"/>
      <c r="B63" s="14"/>
      <c r="C63" s="14"/>
      <c r="D63" s="14"/>
      <c r="E63" s="23"/>
      <c r="F63" s="14"/>
      <c r="G63" s="14"/>
      <c r="H63" s="14"/>
      <c r="I63" s="14"/>
      <c r="J63" s="14"/>
    </row>
    <row r="64" spans="1:10" s="10" customFormat="1" x14ac:dyDescent="0.2">
      <c r="A64" s="29" t="s">
        <v>86</v>
      </c>
      <c r="B64" s="29"/>
      <c r="C64" s="29"/>
      <c r="D64" s="29"/>
      <c r="E64" s="42"/>
      <c r="F64" s="29"/>
      <c r="G64" s="29"/>
      <c r="H64" s="29"/>
      <c r="I64" s="29"/>
      <c r="J64" s="29"/>
    </row>
    <row r="65" spans="1:10" x14ac:dyDescent="0.2">
      <c r="A65" s="14"/>
      <c r="B65" s="14"/>
      <c r="C65" s="14"/>
      <c r="D65" s="14"/>
      <c r="E65" s="23"/>
      <c r="F65" s="14"/>
      <c r="G65" s="14"/>
      <c r="H65" s="14"/>
      <c r="I65" s="14"/>
      <c r="J65" s="14"/>
    </row>
    <row r="66" spans="1:10" x14ac:dyDescent="0.2">
      <c r="A66" s="14"/>
      <c r="B66" s="14"/>
      <c r="C66" s="14"/>
      <c r="D66" s="14"/>
      <c r="E66" s="23"/>
      <c r="F66" s="14"/>
      <c r="G66" s="14"/>
      <c r="H66" s="14"/>
      <c r="I66" s="14"/>
      <c r="J66" s="14"/>
    </row>
    <row r="67" spans="1:10" x14ac:dyDescent="0.2">
      <c r="A67" s="14"/>
      <c r="B67" s="1" t="s">
        <v>87</v>
      </c>
      <c r="C67" s="1" t="s">
        <v>2</v>
      </c>
      <c r="D67" s="1" t="s">
        <v>2</v>
      </c>
      <c r="E67" s="23"/>
      <c r="F67" s="14"/>
      <c r="G67" s="14"/>
      <c r="H67" s="14"/>
      <c r="I67" s="14"/>
      <c r="J67" s="14"/>
    </row>
    <row r="68" spans="1:10" x14ac:dyDescent="0.2">
      <c r="A68" s="14"/>
      <c r="B68" s="45" t="s">
        <v>88</v>
      </c>
      <c r="C68" s="8">
        <f>DATEVALUE(B68)</f>
        <v>44977</v>
      </c>
      <c r="D68" s="8"/>
      <c r="E68" s="23"/>
      <c r="F68" s="14"/>
      <c r="G68" s="14"/>
      <c r="H68" s="14"/>
      <c r="I68" s="14"/>
      <c r="J68" s="14"/>
    </row>
    <row r="69" spans="1:10" x14ac:dyDescent="0.2">
      <c r="A69" s="14"/>
      <c r="B69" s="45" t="s">
        <v>89</v>
      </c>
      <c r="C69" s="8">
        <f t="shared" ref="C69:C71" si="0">DATEVALUE(B69)</f>
        <v>44987</v>
      </c>
      <c r="D69" s="8"/>
      <c r="E69" s="23"/>
      <c r="F69" s="14"/>
      <c r="G69" s="14"/>
      <c r="H69" s="14"/>
      <c r="I69" s="14"/>
      <c r="J69" s="14"/>
    </row>
    <row r="70" spans="1:10" x14ac:dyDescent="0.2">
      <c r="A70" s="14"/>
      <c r="B70" s="45" t="s">
        <v>90</v>
      </c>
      <c r="C70" s="8">
        <f t="shared" si="0"/>
        <v>44960</v>
      </c>
      <c r="D70" s="8"/>
      <c r="E70" s="23"/>
      <c r="F70" s="14"/>
      <c r="G70" s="14"/>
      <c r="H70" s="14"/>
      <c r="I70" s="14"/>
      <c r="J70" s="14"/>
    </row>
    <row r="71" spans="1:10" x14ac:dyDescent="0.2">
      <c r="A71" s="14"/>
      <c r="B71" s="45" t="s">
        <v>91</v>
      </c>
      <c r="C71" s="8">
        <f t="shared" si="0"/>
        <v>44988</v>
      </c>
      <c r="D71" s="8"/>
      <c r="E71" s="23"/>
      <c r="F71" s="14"/>
      <c r="G71" s="14"/>
      <c r="H71" s="14"/>
      <c r="I71" s="14"/>
      <c r="J71" s="14"/>
    </row>
    <row r="72" spans="1:10" x14ac:dyDescent="0.2">
      <c r="A72" s="14"/>
      <c r="E72" s="23"/>
      <c r="F72" s="14"/>
      <c r="G72" s="14"/>
      <c r="H72" s="14"/>
      <c r="I72" s="14"/>
      <c r="J72" s="14"/>
    </row>
    <row r="73" spans="1:10" x14ac:dyDescent="0.2">
      <c r="A73" s="14"/>
      <c r="B73" s="1" t="s">
        <v>92</v>
      </c>
      <c r="C73" s="1" t="s">
        <v>82</v>
      </c>
      <c r="D73" s="1" t="s">
        <v>82</v>
      </c>
      <c r="E73" s="23"/>
      <c r="F73" s="14"/>
      <c r="G73" s="14"/>
      <c r="H73" s="14"/>
      <c r="I73" s="14"/>
      <c r="J73" s="14"/>
    </row>
    <row r="74" spans="1:10" x14ac:dyDescent="0.2">
      <c r="A74" s="14"/>
      <c r="B74" s="45" t="s">
        <v>511</v>
      </c>
      <c r="C74" s="8">
        <f>TIMEVALUE(B74)</f>
        <v>0.5</v>
      </c>
      <c r="D74" s="8"/>
      <c r="E74" s="23"/>
      <c r="F74" s="14"/>
      <c r="G74" s="14"/>
      <c r="H74" s="14"/>
      <c r="I74" s="14"/>
      <c r="J74" s="14"/>
    </row>
    <row r="75" spans="1:10" x14ac:dyDescent="0.2">
      <c r="B75" s="45" t="s">
        <v>93</v>
      </c>
      <c r="C75" s="8">
        <f t="shared" ref="C75:C76" si="1">TIMEVALUE(B75)</f>
        <v>0.57291666666666663</v>
      </c>
      <c r="D75" s="8"/>
    </row>
    <row r="76" spans="1:10" x14ac:dyDescent="0.2">
      <c r="B76" s="45" t="s">
        <v>94</v>
      </c>
      <c r="C76" s="8">
        <f t="shared" si="1"/>
        <v>0.58333333333575865</v>
      </c>
      <c r="D7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F5BB-01C5-A149-A1D1-FDB327D4890C}">
  <dimension ref="A3:M151"/>
  <sheetViews>
    <sheetView tabSelected="1" topLeftCell="A36" zoomScale="219" zoomScaleNormal="118" workbookViewId="0">
      <selection activeCell="M73" sqref="M73"/>
    </sheetView>
  </sheetViews>
  <sheetFormatPr baseColWidth="10" defaultRowHeight="15" x14ac:dyDescent="0.2"/>
  <cols>
    <col min="1" max="5" width="21.83203125" customWidth="1"/>
    <col min="6" max="6" width="25.83203125" bestFit="1" customWidth="1"/>
    <col min="7" max="7" width="12.33203125" bestFit="1" customWidth="1"/>
  </cols>
  <sheetData>
    <row r="3" spans="1:13" x14ac:dyDescent="0.2">
      <c r="A3" s="47" t="s">
        <v>95</v>
      </c>
      <c r="B3" s="47" t="s">
        <v>96</v>
      </c>
      <c r="C3" s="47" t="s">
        <v>100</v>
      </c>
      <c r="D3" s="47" t="s">
        <v>101</v>
      </c>
      <c r="E3" s="47" t="s">
        <v>99</v>
      </c>
    </row>
    <row r="4" spans="1:13" x14ac:dyDescent="0.2">
      <c r="A4" s="46">
        <v>0</v>
      </c>
      <c r="B4" s="46">
        <v>0</v>
      </c>
      <c r="C4" s="46">
        <v>0</v>
      </c>
      <c r="D4" s="46">
        <v>0</v>
      </c>
      <c r="E4" s="46"/>
    </row>
    <row r="5" spans="1:13" x14ac:dyDescent="0.2">
      <c r="A5" s="46">
        <v>0</v>
      </c>
      <c r="B5" s="46">
        <v>1</v>
      </c>
      <c r="C5" s="46">
        <v>0</v>
      </c>
      <c r="D5" s="46">
        <v>1</v>
      </c>
      <c r="E5" s="46"/>
    </row>
    <row r="6" spans="1:13" x14ac:dyDescent="0.2">
      <c r="A6" s="46">
        <v>1</v>
      </c>
      <c r="B6" s="46">
        <v>0</v>
      </c>
      <c r="C6" s="46">
        <v>0</v>
      </c>
      <c r="D6" s="46">
        <v>1</v>
      </c>
      <c r="E6" s="46"/>
    </row>
    <row r="7" spans="1:13" x14ac:dyDescent="0.2">
      <c r="A7" s="46">
        <v>1</v>
      </c>
      <c r="B7" s="46">
        <v>1</v>
      </c>
      <c r="C7" s="46">
        <v>1</v>
      </c>
      <c r="D7" s="46">
        <v>1</v>
      </c>
      <c r="E7" s="46"/>
    </row>
    <row r="10" spans="1:13" x14ac:dyDescent="0.2">
      <c r="A10" s="48" t="s">
        <v>97</v>
      </c>
      <c r="B10" s="48" t="s">
        <v>98</v>
      </c>
      <c r="C10" s="48" t="s">
        <v>99</v>
      </c>
      <c r="D10" s="48" t="s">
        <v>102</v>
      </c>
    </row>
    <row r="11" spans="1:13" x14ac:dyDescent="0.2">
      <c r="A11" s="46"/>
      <c r="B11" s="46"/>
      <c r="C11" s="46"/>
      <c r="D11" s="46"/>
    </row>
    <row r="13" spans="1:13" s="9" customFormat="1" x14ac:dyDescent="0.2">
      <c r="F13" s="9" t="s">
        <v>514</v>
      </c>
      <c r="G13" s="9" t="s">
        <v>518</v>
      </c>
      <c r="H13" s="9" t="s">
        <v>515</v>
      </c>
      <c r="I13" s="9" t="s">
        <v>516</v>
      </c>
      <c r="J13" s="9" t="s">
        <v>517</v>
      </c>
      <c r="K13" s="9" t="s">
        <v>519</v>
      </c>
      <c r="L13" s="9" t="s">
        <v>520</v>
      </c>
      <c r="M13" s="9" t="s">
        <v>521</v>
      </c>
    </row>
    <row r="14" spans="1:13" x14ac:dyDescent="0.2">
      <c r="A14" s="50" t="s">
        <v>0</v>
      </c>
      <c r="B14" s="50" t="s">
        <v>1</v>
      </c>
      <c r="C14" s="50" t="s">
        <v>2</v>
      </c>
      <c r="D14" s="50" t="s">
        <v>3</v>
      </c>
      <c r="E14" s="50" t="s">
        <v>4</v>
      </c>
      <c r="F14" s="50" t="s">
        <v>513</v>
      </c>
    </row>
    <row r="15" spans="1:13" x14ac:dyDescent="0.2">
      <c r="A15" s="5" t="s">
        <v>14</v>
      </c>
      <c r="B15" s="5" t="s">
        <v>11</v>
      </c>
      <c r="C15" s="5" t="s">
        <v>103</v>
      </c>
      <c r="D15" s="5">
        <v>10</v>
      </c>
      <c r="E15" s="49">
        <v>137853</v>
      </c>
    </row>
    <row r="16" spans="1:13" x14ac:dyDescent="0.2">
      <c r="A16" s="5" t="s">
        <v>14</v>
      </c>
      <c r="B16" s="5" t="s">
        <v>6</v>
      </c>
      <c r="C16" s="5" t="s">
        <v>104</v>
      </c>
      <c r="D16" s="5">
        <v>12</v>
      </c>
      <c r="E16" s="49">
        <v>132117</v>
      </c>
    </row>
    <row r="17" spans="1:7" x14ac:dyDescent="0.2">
      <c r="A17" s="5" t="s">
        <v>14</v>
      </c>
      <c r="B17" s="5" t="s">
        <v>7</v>
      </c>
      <c r="C17" s="5" t="s">
        <v>105</v>
      </c>
      <c r="D17" s="5">
        <v>20</v>
      </c>
      <c r="E17" s="49">
        <v>106470</v>
      </c>
    </row>
    <row r="18" spans="1:7" x14ac:dyDescent="0.2">
      <c r="A18" s="5" t="s">
        <v>14</v>
      </c>
      <c r="B18" s="5" t="s">
        <v>6</v>
      </c>
      <c r="C18" s="5" t="s">
        <v>106</v>
      </c>
      <c r="D18" s="5">
        <v>13</v>
      </c>
      <c r="E18" s="49">
        <v>136030</v>
      </c>
    </row>
    <row r="19" spans="1:7" x14ac:dyDescent="0.2">
      <c r="A19" s="5" t="s">
        <v>13</v>
      </c>
      <c r="B19" s="5" t="s">
        <v>9</v>
      </c>
      <c r="C19" s="5" t="s">
        <v>107</v>
      </c>
      <c r="D19" s="5">
        <v>16</v>
      </c>
      <c r="E19" s="49">
        <v>143686</v>
      </c>
    </row>
    <row r="20" spans="1:7" x14ac:dyDescent="0.2">
      <c r="A20" s="5" t="s">
        <v>13</v>
      </c>
      <c r="B20" s="5" t="s">
        <v>10</v>
      </c>
      <c r="C20" s="5" t="s">
        <v>108</v>
      </c>
      <c r="D20" s="5">
        <v>10</v>
      </c>
      <c r="E20" s="49">
        <v>105918</v>
      </c>
    </row>
    <row r="21" spans="1:7" x14ac:dyDescent="0.2">
      <c r="A21" s="5" t="s">
        <v>12</v>
      </c>
      <c r="B21" s="5" t="s">
        <v>6</v>
      </c>
      <c r="C21" s="5" t="s">
        <v>109</v>
      </c>
      <c r="D21" s="5">
        <v>15</v>
      </c>
      <c r="E21" s="49">
        <v>148762</v>
      </c>
    </row>
    <row r="22" spans="1:7" x14ac:dyDescent="0.2">
      <c r="A22" s="5" t="s">
        <v>12</v>
      </c>
      <c r="B22" s="5" t="s">
        <v>7</v>
      </c>
      <c r="C22" s="5" t="s">
        <v>110</v>
      </c>
      <c r="D22" s="5">
        <v>14</v>
      </c>
      <c r="E22" s="49">
        <v>123919</v>
      </c>
    </row>
    <row r="23" spans="1:7" x14ac:dyDescent="0.2">
      <c r="A23" s="5" t="s">
        <v>12</v>
      </c>
      <c r="B23" s="5" t="s">
        <v>6</v>
      </c>
      <c r="C23" s="5" t="s">
        <v>111</v>
      </c>
      <c r="D23" s="5">
        <v>15</v>
      </c>
      <c r="E23" s="49">
        <v>121464</v>
      </c>
    </row>
    <row r="24" spans="1:7" x14ac:dyDescent="0.2">
      <c r="A24" s="5" t="s">
        <v>8</v>
      </c>
      <c r="B24" s="5" t="s">
        <v>9</v>
      </c>
      <c r="C24" s="5" t="s">
        <v>112</v>
      </c>
      <c r="D24" s="5">
        <v>10</v>
      </c>
      <c r="E24" s="49">
        <v>149433</v>
      </c>
    </row>
    <row r="25" spans="1:7" x14ac:dyDescent="0.2">
      <c r="A25" s="5" t="s">
        <v>8</v>
      </c>
      <c r="B25" s="5" t="s">
        <v>10</v>
      </c>
      <c r="C25" s="5" t="s">
        <v>113</v>
      </c>
      <c r="D25" s="5">
        <v>14</v>
      </c>
      <c r="E25" s="49">
        <v>102671</v>
      </c>
    </row>
    <row r="26" spans="1:7" x14ac:dyDescent="0.2">
      <c r="A26" s="5" t="s">
        <v>8</v>
      </c>
      <c r="B26" s="5" t="s">
        <v>11</v>
      </c>
      <c r="C26" s="5" t="s">
        <v>114</v>
      </c>
      <c r="D26" s="5">
        <v>18</v>
      </c>
      <c r="E26" s="49">
        <v>119780</v>
      </c>
    </row>
    <row r="27" spans="1:7" x14ac:dyDescent="0.2">
      <c r="A27" s="5" t="s">
        <v>5</v>
      </c>
      <c r="B27" s="5" t="s">
        <v>6</v>
      </c>
      <c r="C27" s="6">
        <v>44136</v>
      </c>
      <c r="D27" s="5">
        <v>14</v>
      </c>
      <c r="E27" s="49">
        <v>120131</v>
      </c>
    </row>
    <row r="28" spans="1:7" x14ac:dyDescent="0.2">
      <c r="A28" s="5" t="s">
        <v>5</v>
      </c>
      <c r="B28" s="5" t="s">
        <v>7</v>
      </c>
      <c r="C28" s="6">
        <v>44531</v>
      </c>
      <c r="D28" s="5">
        <v>16</v>
      </c>
      <c r="E28" s="49">
        <v>123919</v>
      </c>
    </row>
    <row r="29" spans="1:7" x14ac:dyDescent="0.2">
      <c r="A29" s="5" t="s">
        <v>5</v>
      </c>
      <c r="B29" s="5" t="s">
        <v>6</v>
      </c>
      <c r="C29" s="5" t="s">
        <v>115</v>
      </c>
      <c r="D29" s="5">
        <v>17</v>
      </c>
      <c r="E29" s="49">
        <v>132522</v>
      </c>
    </row>
    <row r="32" spans="1:7" s="9" customFormat="1" x14ac:dyDescent="0.2">
      <c r="F32" s="9" t="s">
        <v>523</v>
      </c>
      <c r="G32" s="9" t="s">
        <v>522</v>
      </c>
    </row>
    <row r="33" spans="1:5" x14ac:dyDescent="0.2">
      <c r="A33" s="51" t="s">
        <v>116</v>
      </c>
      <c r="B33" s="51"/>
      <c r="D33" s="57" t="s">
        <v>117</v>
      </c>
      <c r="E33" s="57" t="s">
        <v>118</v>
      </c>
    </row>
    <row r="34" spans="1:5" x14ac:dyDescent="0.2">
      <c r="A34" s="5" t="s">
        <v>119</v>
      </c>
      <c r="B34" s="5" t="s">
        <v>118</v>
      </c>
      <c r="D34" s="58" t="s">
        <v>120</v>
      </c>
      <c r="E34" s="58" t="b">
        <v>1</v>
      </c>
    </row>
    <row r="35" spans="1:5" x14ac:dyDescent="0.2">
      <c r="A35" s="5" t="b">
        <v>1</v>
      </c>
      <c r="B35" s="5" t="b">
        <v>1</v>
      </c>
      <c r="D35" s="58" t="s">
        <v>121</v>
      </c>
      <c r="E35" s="58" t="b">
        <v>0</v>
      </c>
    </row>
    <row r="36" spans="1:5" x14ac:dyDescent="0.2">
      <c r="A36" s="5" t="b">
        <v>0</v>
      </c>
      <c r="B36" s="5" t="b">
        <v>0</v>
      </c>
      <c r="D36" s="58" t="s">
        <v>122</v>
      </c>
      <c r="E36" s="58" t="b">
        <v>0</v>
      </c>
    </row>
    <row r="38" spans="1:5" x14ac:dyDescent="0.2">
      <c r="A38" s="51" t="s">
        <v>123</v>
      </c>
      <c r="B38" s="51"/>
      <c r="C38" s="51"/>
    </row>
    <row r="39" spans="1:5" x14ac:dyDescent="0.2">
      <c r="A39" s="5" t="s">
        <v>119</v>
      </c>
      <c r="B39" s="5" t="s">
        <v>124</v>
      </c>
      <c r="C39" s="5" t="s">
        <v>118</v>
      </c>
    </row>
    <row r="40" spans="1:5" x14ac:dyDescent="0.2">
      <c r="A40" s="5" t="b">
        <v>1</v>
      </c>
      <c r="B40" s="5" t="b">
        <v>1</v>
      </c>
      <c r="C40" s="5" t="b">
        <v>0</v>
      </c>
    </row>
    <row r="41" spans="1:5" x14ac:dyDescent="0.2">
      <c r="A41" s="5" t="b">
        <v>1</v>
      </c>
      <c r="B41" s="5" t="b">
        <v>0</v>
      </c>
      <c r="C41" s="5" t="b">
        <v>1</v>
      </c>
    </row>
    <row r="42" spans="1:5" x14ac:dyDescent="0.2">
      <c r="A42" s="5" t="b">
        <v>0</v>
      </c>
      <c r="B42" s="5" t="b">
        <v>1</v>
      </c>
      <c r="C42" s="5" t="b">
        <v>1</v>
      </c>
    </row>
    <row r="43" spans="1:5" x14ac:dyDescent="0.2">
      <c r="A43" s="5" t="b">
        <v>0</v>
      </c>
      <c r="B43" s="5" t="b">
        <v>0</v>
      </c>
      <c r="C43" s="5" t="b">
        <v>0</v>
      </c>
    </row>
    <row r="45" spans="1:5" x14ac:dyDescent="0.2">
      <c r="A45" s="51" t="s">
        <v>125</v>
      </c>
      <c r="B45" s="51"/>
      <c r="C45" s="51"/>
      <c r="D45" s="51"/>
      <c r="E45" s="51"/>
    </row>
    <row r="46" spans="1:5" x14ac:dyDescent="0.2">
      <c r="A46" s="5" t="s">
        <v>119</v>
      </c>
      <c r="B46" s="5" t="s">
        <v>124</v>
      </c>
      <c r="C46" s="5" t="s">
        <v>126</v>
      </c>
      <c r="D46" s="5" t="s">
        <v>127</v>
      </c>
      <c r="E46" s="5" t="s">
        <v>118</v>
      </c>
    </row>
    <row r="47" spans="1:5" x14ac:dyDescent="0.2">
      <c r="A47" s="5" t="b">
        <v>1</v>
      </c>
      <c r="B47" s="5" t="b">
        <v>1</v>
      </c>
      <c r="C47" s="5" t="b">
        <v>1</v>
      </c>
      <c r="D47" s="5" t="b">
        <v>1</v>
      </c>
      <c r="E47" s="5" t="b">
        <v>0</v>
      </c>
    </row>
    <row r="48" spans="1:5" x14ac:dyDescent="0.2">
      <c r="A48" s="5" t="b">
        <v>1</v>
      </c>
      <c r="B48" s="5" t="b">
        <v>1</v>
      </c>
      <c r="C48" s="5" t="b">
        <v>1</v>
      </c>
      <c r="D48" s="5" t="b">
        <v>0</v>
      </c>
      <c r="E48" s="5" t="b">
        <v>1</v>
      </c>
    </row>
    <row r="49" spans="1:13" x14ac:dyDescent="0.2">
      <c r="A49" s="5" t="b">
        <v>0</v>
      </c>
      <c r="B49" s="5" t="b">
        <v>0</v>
      </c>
      <c r="C49" s="5" t="b">
        <v>0</v>
      </c>
      <c r="D49" s="5" t="b">
        <v>0</v>
      </c>
      <c r="E49" s="5" t="b">
        <v>0</v>
      </c>
    </row>
    <row r="52" spans="1:13" s="10" customFormat="1" x14ac:dyDescent="0.2">
      <c r="A52" s="10" t="s">
        <v>509</v>
      </c>
    </row>
    <row r="55" spans="1:13" ht="15.75" customHeight="1" x14ac:dyDescent="0.2">
      <c r="A55" s="52" t="s">
        <v>128</v>
      </c>
      <c r="B55" s="52" t="s">
        <v>129</v>
      </c>
      <c r="C55" s="52" t="s">
        <v>130</v>
      </c>
      <c r="D55" s="52" t="s">
        <v>131</v>
      </c>
      <c r="E55" s="52" t="s">
        <v>132</v>
      </c>
      <c r="F55" s="52" t="s">
        <v>133</v>
      </c>
      <c r="G55" s="52" t="s">
        <v>134</v>
      </c>
      <c r="H55" s="52" t="s">
        <v>135</v>
      </c>
      <c r="I55" s="52" t="s">
        <v>136</v>
      </c>
      <c r="J55" s="53" t="s">
        <v>137</v>
      </c>
      <c r="K55" s="52" t="s">
        <v>128</v>
      </c>
    </row>
    <row r="56" spans="1:13" ht="15.75" customHeight="1" x14ac:dyDescent="0.2">
      <c r="A56" s="54">
        <v>1</v>
      </c>
      <c r="B56" s="54" t="s">
        <v>138</v>
      </c>
      <c r="C56" s="54" t="s">
        <v>139</v>
      </c>
      <c r="D56" s="54" t="s">
        <v>140</v>
      </c>
      <c r="E56" s="54">
        <v>19</v>
      </c>
      <c r="F56" s="54" t="s">
        <v>141</v>
      </c>
      <c r="G56" s="54" t="s">
        <v>142</v>
      </c>
      <c r="H56" s="54" t="s">
        <v>143</v>
      </c>
      <c r="I56" s="54">
        <v>6411</v>
      </c>
      <c r="J56" s="55">
        <v>44002</v>
      </c>
      <c r="K56" s="54">
        <f>IF(MOD(A56,10)=0, A56 &amp; _xlfn.UNICHAR(8320), A56)</f>
        <v>1</v>
      </c>
      <c r="L56" t="str" cm="1">
        <f t="array" ref="L56">_xlfn.IFS(E56&lt;=19,"Teenager",19&lt;=E56&lt;25,"Young",E56&gt;25,"Adult")</f>
        <v>Teenager</v>
      </c>
      <c r="M56" t="str">
        <f>IFERROR(L56,"Red")</f>
        <v>Teenager</v>
      </c>
    </row>
    <row r="57" spans="1:13" ht="15.75" customHeight="1" x14ac:dyDescent="0.2">
      <c r="A57" s="54">
        <v>2</v>
      </c>
      <c r="B57" s="54" t="s">
        <v>144</v>
      </c>
      <c r="C57" s="54" t="s">
        <v>145</v>
      </c>
      <c r="D57" s="54" t="s">
        <v>146</v>
      </c>
      <c r="E57" s="54">
        <v>18</v>
      </c>
      <c r="F57" s="54" t="s">
        <v>147</v>
      </c>
      <c r="G57" s="54" t="s">
        <v>148</v>
      </c>
      <c r="H57" s="54" t="s">
        <v>149</v>
      </c>
      <c r="I57" s="54">
        <v>1047</v>
      </c>
      <c r="J57" s="55">
        <v>44141</v>
      </c>
      <c r="K57" s="54">
        <f t="shared" ref="K57:K120" si="0">IF(MOD(A57,10)=0, A57 &amp; _xlfn.UNICHAR(8320), A57)</f>
        <v>2</v>
      </c>
      <c r="L57" t="str" cm="1">
        <f t="array" ref="L57">_xlfn.IFS(E57&lt;=19,"Teenager",19&lt;=E57&lt;25,"Young",E57&gt;25,"Adult")</f>
        <v>Teenager</v>
      </c>
      <c r="M57" t="str">
        <f t="shared" ref="M57:M120" si="1">IFERROR(L57,"Red")</f>
        <v>Teenager</v>
      </c>
    </row>
    <row r="58" spans="1:13" ht="15.75" customHeight="1" x14ac:dyDescent="0.2">
      <c r="A58" s="54">
        <v>3</v>
      </c>
      <c r="B58" s="54" t="s">
        <v>150</v>
      </c>
      <c r="C58" s="54" t="s">
        <v>151</v>
      </c>
      <c r="D58" s="54" t="s">
        <v>140</v>
      </c>
      <c r="E58" s="54">
        <v>21</v>
      </c>
      <c r="F58" s="54" t="s">
        <v>152</v>
      </c>
      <c r="G58" s="54" t="s">
        <v>153</v>
      </c>
      <c r="H58" s="54" t="s">
        <v>154</v>
      </c>
      <c r="I58" s="54">
        <v>8711</v>
      </c>
      <c r="J58" s="55">
        <v>44028</v>
      </c>
      <c r="K58" s="54">
        <v>3</v>
      </c>
      <c r="L58" t="e" cm="1">
        <f t="array" ref="L58">_xlfn.IFS(E58&lt;=19,"Teenager",19&lt;=E58&lt;25,"Young",E58&gt;25,"Adult")</f>
        <v>#N/A</v>
      </c>
      <c r="M58" t="str">
        <f t="shared" si="1"/>
        <v>Red</v>
      </c>
    </row>
    <row r="59" spans="1:13" ht="15.75" customHeight="1" x14ac:dyDescent="0.2">
      <c r="A59" s="54">
        <v>4</v>
      </c>
      <c r="B59" s="54" t="s">
        <v>155</v>
      </c>
      <c r="C59" s="54" t="s">
        <v>156</v>
      </c>
      <c r="D59" s="54" t="s">
        <v>140</v>
      </c>
      <c r="E59" s="54">
        <v>20</v>
      </c>
      <c r="F59" s="54" t="s">
        <v>157</v>
      </c>
      <c r="G59" s="54" t="s">
        <v>158</v>
      </c>
      <c r="H59" s="54" t="s">
        <v>159</v>
      </c>
      <c r="I59" s="54">
        <v>8667</v>
      </c>
      <c r="J59" s="55">
        <v>44127</v>
      </c>
      <c r="K59" s="54">
        <f t="shared" si="0"/>
        <v>4</v>
      </c>
      <c r="L59" t="e" cm="1">
        <f t="array" ref="L59">_xlfn.IFS(E59&lt;=19,"Teenager",19&lt;=E59&lt;25,"Young",E59&gt;25,"Adult")</f>
        <v>#N/A</v>
      </c>
      <c r="M59" t="str">
        <f t="shared" si="1"/>
        <v>Red</v>
      </c>
    </row>
    <row r="60" spans="1:13" ht="15.75" customHeight="1" x14ac:dyDescent="0.2">
      <c r="A60" s="54">
        <v>5</v>
      </c>
      <c r="B60" s="54" t="s">
        <v>160</v>
      </c>
      <c r="C60" s="54" t="s">
        <v>161</v>
      </c>
      <c r="D60" s="54" t="s">
        <v>146</v>
      </c>
      <c r="E60" s="54">
        <v>24</v>
      </c>
      <c r="F60" s="54" t="s">
        <v>162</v>
      </c>
      <c r="G60" s="54" t="s">
        <v>163</v>
      </c>
      <c r="H60" s="54" t="s">
        <v>164</v>
      </c>
      <c r="I60" s="54">
        <v>3348</v>
      </c>
      <c r="J60" s="55">
        <v>43851</v>
      </c>
      <c r="K60" s="54">
        <f t="shared" si="0"/>
        <v>5</v>
      </c>
      <c r="L60" t="e" cm="1">
        <f t="array" ref="L60">_xlfn.IFS(E60&lt;=19,"Teenager",19&lt;=E60&lt;25,"Young",E60&gt;25,"Adult")</f>
        <v>#N/A</v>
      </c>
      <c r="M60" t="str">
        <f t="shared" si="1"/>
        <v>Red</v>
      </c>
    </row>
    <row r="61" spans="1:13" ht="15.75" customHeight="1" x14ac:dyDescent="0.2">
      <c r="A61" s="54">
        <v>6</v>
      </c>
      <c r="B61" s="54" t="s">
        <v>165</v>
      </c>
      <c r="C61" s="54" t="s">
        <v>166</v>
      </c>
      <c r="D61" s="54" t="s">
        <v>140</v>
      </c>
      <c r="E61" s="54">
        <v>28</v>
      </c>
      <c r="F61" s="54" t="s">
        <v>167</v>
      </c>
      <c r="G61" s="54" t="s">
        <v>168</v>
      </c>
      <c r="H61" s="54" t="s">
        <v>169</v>
      </c>
      <c r="I61" s="54">
        <v>3246</v>
      </c>
      <c r="J61" s="55">
        <v>43900</v>
      </c>
      <c r="K61" s="54">
        <f t="shared" si="0"/>
        <v>6</v>
      </c>
      <c r="L61" t="str" cm="1">
        <f t="array" ref="L61">_xlfn.IFS(E61&lt;=19,"Teenager",19&lt;=E61&lt;25,"Young",E61&gt;25,"Adult")</f>
        <v>Adult</v>
      </c>
      <c r="M61" t="str">
        <f t="shared" si="1"/>
        <v>Adult</v>
      </c>
    </row>
    <row r="62" spans="1:13" ht="15.75" customHeight="1" x14ac:dyDescent="0.2">
      <c r="A62" s="54">
        <v>7</v>
      </c>
      <c r="B62" s="54" t="s">
        <v>170</v>
      </c>
      <c r="C62" s="54" t="s">
        <v>171</v>
      </c>
      <c r="D62" s="54" t="s">
        <v>146</v>
      </c>
      <c r="E62" s="54">
        <v>21</v>
      </c>
      <c r="F62" s="54" t="s">
        <v>172</v>
      </c>
      <c r="G62" s="54" t="s">
        <v>173</v>
      </c>
      <c r="H62" s="54" t="s">
        <v>143</v>
      </c>
      <c r="I62" s="54">
        <v>1743</v>
      </c>
      <c r="J62" s="55">
        <v>43856</v>
      </c>
      <c r="K62" s="54">
        <f t="shared" si="0"/>
        <v>7</v>
      </c>
      <c r="L62" t="e" cm="1">
        <f t="array" ref="L62">_xlfn.IFS(E62&lt;=19,"Teenager",19&lt;=E62&lt;25,"Young",E62&gt;25,"Adult")</f>
        <v>#N/A</v>
      </c>
      <c r="M62" t="str">
        <f t="shared" si="1"/>
        <v>Red</v>
      </c>
    </row>
    <row r="63" spans="1:13" ht="15.75" customHeight="1" x14ac:dyDescent="0.2">
      <c r="A63" s="54">
        <v>8</v>
      </c>
      <c r="B63" s="54" t="s">
        <v>174</v>
      </c>
      <c r="C63" s="54" t="s">
        <v>175</v>
      </c>
      <c r="D63" s="54" t="s">
        <v>140</v>
      </c>
      <c r="E63" s="54">
        <v>19</v>
      </c>
      <c r="F63" s="54" t="s">
        <v>176</v>
      </c>
      <c r="G63" s="54" t="s">
        <v>177</v>
      </c>
      <c r="H63" s="54" t="s">
        <v>178</v>
      </c>
      <c r="I63" s="54">
        <v>8916</v>
      </c>
      <c r="J63" s="55">
        <v>44117</v>
      </c>
      <c r="K63" s="54">
        <f t="shared" si="0"/>
        <v>8</v>
      </c>
      <c r="L63" t="str" cm="1">
        <f t="array" ref="L63">_xlfn.IFS(E63&lt;=19,"Teenager",19&lt;=E63&lt;25,"Young",E63&gt;25,"Adult")</f>
        <v>Teenager</v>
      </c>
      <c r="M63" t="str">
        <f t="shared" si="1"/>
        <v>Teenager</v>
      </c>
    </row>
    <row r="64" spans="1:13" ht="15.75" customHeight="1" x14ac:dyDescent="0.2">
      <c r="A64" s="54">
        <v>9</v>
      </c>
      <c r="B64" s="54" t="s">
        <v>179</v>
      </c>
      <c r="C64" s="54" t="s">
        <v>180</v>
      </c>
      <c r="D64" s="54" t="s">
        <v>140</v>
      </c>
      <c r="E64" s="54">
        <v>28</v>
      </c>
      <c r="F64" s="54" t="s">
        <v>181</v>
      </c>
      <c r="G64" s="54" t="s">
        <v>182</v>
      </c>
      <c r="H64" s="54" t="s">
        <v>183</v>
      </c>
      <c r="I64" s="54">
        <v>6177</v>
      </c>
      <c r="J64" s="55">
        <v>44083</v>
      </c>
      <c r="K64" s="54">
        <f t="shared" si="0"/>
        <v>9</v>
      </c>
      <c r="L64" t="str" cm="1">
        <f t="array" ref="L64">_xlfn.IFS(E64&lt;=19,"Teenager",19&lt;=E64&lt;25,"Young",E64&gt;25,"Adult")</f>
        <v>Adult</v>
      </c>
      <c r="M64" t="str">
        <f t="shared" si="1"/>
        <v>Adult</v>
      </c>
    </row>
    <row r="65" spans="1:13" ht="15.75" customHeight="1" x14ac:dyDescent="0.2">
      <c r="A65" s="54">
        <v>10</v>
      </c>
      <c r="B65" s="54" t="s">
        <v>184</v>
      </c>
      <c r="C65" s="54" t="s">
        <v>185</v>
      </c>
      <c r="D65" s="54" t="s">
        <v>146</v>
      </c>
      <c r="E65" s="54">
        <v>20</v>
      </c>
      <c r="F65" s="54" t="s">
        <v>186</v>
      </c>
      <c r="G65" s="54" t="s">
        <v>187</v>
      </c>
      <c r="H65" s="54" t="s">
        <v>188</v>
      </c>
      <c r="I65" s="54">
        <v>9899</v>
      </c>
      <c r="J65" s="55">
        <v>44123</v>
      </c>
      <c r="K65" s="54" t="str">
        <f t="shared" si="0"/>
        <v>10₀</v>
      </c>
      <c r="L65" t="e" cm="1">
        <f t="array" ref="L65">_xlfn.IFS(E65&lt;=19,"Teenager",19&lt;=E65&lt;25,"Young",E65&gt;25,"Adult")</f>
        <v>#N/A</v>
      </c>
      <c r="M65" t="str">
        <f t="shared" si="1"/>
        <v>Red</v>
      </c>
    </row>
    <row r="66" spans="1:13" ht="15.75" customHeight="1" x14ac:dyDescent="0.2">
      <c r="A66" s="54">
        <v>11</v>
      </c>
      <c r="B66" s="54" t="s">
        <v>189</v>
      </c>
      <c r="C66" s="54" t="s">
        <v>190</v>
      </c>
      <c r="D66" s="54" t="s">
        <v>140</v>
      </c>
      <c r="E66" s="54">
        <v>22</v>
      </c>
      <c r="F66" s="54" t="s">
        <v>191</v>
      </c>
      <c r="G66" s="54" t="s">
        <v>192</v>
      </c>
      <c r="H66" s="54" t="s">
        <v>193</v>
      </c>
      <c r="I66" s="54">
        <v>7181</v>
      </c>
      <c r="J66" s="55">
        <v>44024</v>
      </c>
      <c r="K66" s="54">
        <f t="shared" si="0"/>
        <v>11</v>
      </c>
      <c r="L66" t="e" cm="1">
        <f t="array" ref="L66">_xlfn.IFS(E66&lt;=19,"Teenager",19&lt;=E66&lt;25,"Young",E66&gt;25,"Adult")</f>
        <v>#N/A</v>
      </c>
      <c r="M66" t="str">
        <f t="shared" si="1"/>
        <v>Red</v>
      </c>
    </row>
    <row r="67" spans="1:13" ht="15.75" customHeight="1" x14ac:dyDescent="0.2">
      <c r="A67" s="54">
        <v>12</v>
      </c>
      <c r="B67" s="54" t="s">
        <v>194</v>
      </c>
      <c r="C67" s="54" t="s">
        <v>195</v>
      </c>
      <c r="D67" s="54" t="s">
        <v>146</v>
      </c>
      <c r="E67" s="54">
        <v>28</v>
      </c>
      <c r="F67" s="54" t="s">
        <v>196</v>
      </c>
      <c r="G67" s="54" t="s">
        <v>197</v>
      </c>
      <c r="H67" s="54" t="s">
        <v>198</v>
      </c>
      <c r="I67" s="54">
        <v>6246</v>
      </c>
      <c r="J67" s="55">
        <v>43835</v>
      </c>
      <c r="K67" s="54">
        <f t="shared" si="0"/>
        <v>12</v>
      </c>
      <c r="L67" t="str" cm="1">
        <f t="array" ref="L67">_xlfn.IFS(E67&lt;=19,"Teenager",19&lt;=E67&lt;25,"Young",E67&gt;25,"Adult")</f>
        <v>Adult</v>
      </c>
      <c r="M67" t="str">
        <f t="shared" si="1"/>
        <v>Adult</v>
      </c>
    </row>
    <row r="68" spans="1:13" ht="15.75" customHeight="1" x14ac:dyDescent="0.2">
      <c r="A68" s="54">
        <v>13</v>
      </c>
      <c r="B68" s="54" t="s">
        <v>199</v>
      </c>
      <c r="C68" s="54" t="s">
        <v>200</v>
      </c>
      <c r="D68" s="54" t="s">
        <v>146</v>
      </c>
      <c r="E68" s="54">
        <v>26</v>
      </c>
      <c r="F68" s="54" t="s">
        <v>201</v>
      </c>
      <c r="G68" s="54" t="s">
        <v>202</v>
      </c>
      <c r="H68" s="54" t="s">
        <v>203</v>
      </c>
      <c r="I68" s="54">
        <v>1062</v>
      </c>
      <c r="J68" s="55">
        <v>43856</v>
      </c>
      <c r="K68" s="54">
        <f t="shared" si="0"/>
        <v>13</v>
      </c>
      <c r="L68" t="str" cm="1">
        <f t="array" ref="L68">_xlfn.IFS(E68&lt;=19,"Teenager",19&lt;=E68&lt;25,"Young",E68&gt;25,"Adult")</f>
        <v>Adult</v>
      </c>
      <c r="M68" t="str">
        <f t="shared" si="1"/>
        <v>Adult</v>
      </c>
    </row>
    <row r="69" spans="1:13" ht="15.75" customHeight="1" x14ac:dyDescent="0.2">
      <c r="A69" s="54">
        <v>14</v>
      </c>
      <c r="B69" s="54" t="s">
        <v>204</v>
      </c>
      <c r="C69" s="54" t="s">
        <v>205</v>
      </c>
      <c r="D69" s="54" t="s">
        <v>146</v>
      </c>
      <c r="E69" s="54">
        <v>19</v>
      </c>
      <c r="F69" s="54" t="s">
        <v>206</v>
      </c>
      <c r="G69" s="54" t="s">
        <v>207</v>
      </c>
      <c r="H69" s="54" t="s">
        <v>208</v>
      </c>
      <c r="I69" s="54">
        <v>7229</v>
      </c>
      <c r="J69" s="55">
        <v>43949</v>
      </c>
      <c r="K69" s="54">
        <f t="shared" si="0"/>
        <v>14</v>
      </c>
      <c r="L69" t="str" cm="1">
        <f t="array" ref="L69">_xlfn.IFS(E69&lt;=19,"Teenager",19&lt;=E69&lt;25,"Young",E69&gt;25,"Adult")</f>
        <v>Teenager</v>
      </c>
      <c r="M69" t="str">
        <f t="shared" si="1"/>
        <v>Teenager</v>
      </c>
    </row>
    <row r="70" spans="1:13" ht="15.75" customHeight="1" x14ac:dyDescent="0.2">
      <c r="A70" s="54">
        <v>15</v>
      </c>
      <c r="B70" s="54" t="s">
        <v>209</v>
      </c>
      <c r="C70" s="54" t="s">
        <v>210</v>
      </c>
      <c r="D70" s="54" t="s">
        <v>140</v>
      </c>
      <c r="E70" s="54">
        <v>19</v>
      </c>
      <c r="F70" s="54" t="s">
        <v>211</v>
      </c>
      <c r="G70" s="54" t="s">
        <v>212</v>
      </c>
      <c r="H70" s="54" t="s">
        <v>213</v>
      </c>
      <c r="I70" s="54">
        <v>6172</v>
      </c>
      <c r="J70" s="55">
        <v>43897</v>
      </c>
      <c r="K70" s="54">
        <f t="shared" si="0"/>
        <v>15</v>
      </c>
      <c r="L70" t="str" cm="1">
        <f t="array" ref="L70">_xlfn.IFS(E70&lt;=19,"Teenager",19&lt;=E70&lt;25,"Young",E70&gt;25,"Adult")</f>
        <v>Teenager</v>
      </c>
      <c r="M70" t="str">
        <f t="shared" si="1"/>
        <v>Teenager</v>
      </c>
    </row>
    <row r="71" spans="1:13" ht="15.75" customHeight="1" x14ac:dyDescent="0.2">
      <c r="A71" s="54">
        <v>16</v>
      </c>
      <c r="B71" s="54" t="s">
        <v>214</v>
      </c>
      <c r="C71" s="54" t="s">
        <v>215</v>
      </c>
      <c r="D71" s="54" t="s">
        <v>146</v>
      </c>
      <c r="E71" s="54">
        <v>18</v>
      </c>
      <c r="F71" s="54" t="s">
        <v>216</v>
      </c>
      <c r="G71" s="54" t="s">
        <v>217</v>
      </c>
      <c r="H71" s="54" t="s">
        <v>218</v>
      </c>
      <c r="I71" s="54">
        <v>5894</v>
      </c>
      <c r="J71" s="55">
        <v>43873</v>
      </c>
      <c r="K71" s="54">
        <f t="shared" si="0"/>
        <v>16</v>
      </c>
      <c r="L71" t="str" cm="1">
        <f t="array" ref="L71">_xlfn.IFS(E71&lt;=19,"Teenager",19&lt;=E71&lt;25,"Young",E71&gt;25,"Adult")</f>
        <v>Teenager</v>
      </c>
      <c r="M71" t="str">
        <f t="shared" si="1"/>
        <v>Teenager</v>
      </c>
    </row>
    <row r="72" spans="1:13" ht="15.75" customHeight="1" x14ac:dyDescent="0.2">
      <c r="A72" s="54">
        <v>17</v>
      </c>
      <c r="B72" s="54" t="s">
        <v>219</v>
      </c>
      <c r="C72" s="54" t="s">
        <v>220</v>
      </c>
      <c r="D72" s="54" t="s">
        <v>146</v>
      </c>
      <c r="E72" s="54">
        <v>29</v>
      </c>
      <c r="F72" s="54" t="s">
        <v>221</v>
      </c>
      <c r="G72" s="54" t="s">
        <v>222</v>
      </c>
      <c r="H72" s="54" t="s">
        <v>198</v>
      </c>
      <c r="I72" s="54">
        <v>5027</v>
      </c>
      <c r="J72" s="55">
        <v>44112</v>
      </c>
      <c r="K72" s="54">
        <f t="shared" si="0"/>
        <v>17</v>
      </c>
      <c r="L72" t="str" cm="1">
        <f t="array" ref="L72">_xlfn.IFS(E72&lt;=19,"Teenager",19&lt;=E72&lt;25,"Young",E72&gt;25,"Adult")</f>
        <v>Adult</v>
      </c>
      <c r="M72" t="str">
        <f t="shared" si="1"/>
        <v>Adult</v>
      </c>
    </row>
    <row r="73" spans="1:13" ht="15.75" customHeight="1" x14ac:dyDescent="0.2">
      <c r="A73" s="54">
        <v>18</v>
      </c>
      <c r="B73" s="54" t="s">
        <v>223</v>
      </c>
      <c r="C73" s="54" t="s">
        <v>190</v>
      </c>
      <c r="D73" s="54" t="s">
        <v>140</v>
      </c>
      <c r="E73" s="54">
        <v>24</v>
      </c>
      <c r="F73" s="54" t="s">
        <v>224</v>
      </c>
      <c r="G73" s="54" t="s">
        <v>225</v>
      </c>
      <c r="H73" s="54" t="s">
        <v>188</v>
      </c>
      <c r="I73" s="54">
        <v>1802</v>
      </c>
      <c r="J73" s="55">
        <v>44185</v>
      </c>
      <c r="K73" s="54">
        <f t="shared" si="0"/>
        <v>18</v>
      </c>
      <c r="L73" t="e" cm="1">
        <f t="array" ref="L73">_xlfn.IFS(E73&lt;=19,"Teenager",19&lt;=E73&lt;25,"Young",E73&gt;25,"Adult")</f>
        <v>#N/A</v>
      </c>
      <c r="M73" t="str">
        <f t="shared" si="1"/>
        <v>Red</v>
      </c>
    </row>
    <row r="74" spans="1:13" ht="15.75" customHeight="1" x14ac:dyDescent="0.2">
      <c r="A74" s="54">
        <v>19</v>
      </c>
      <c r="B74" s="54" t="s">
        <v>226</v>
      </c>
      <c r="C74" s="54" t="s">
        <v>227</v>
      </c>
      <c r="D74" s="54" t="s">
        <v>140</v>
      </c>
      <c r="E74" s="54">
        <v>30</v>
      </c>
      <c r="F74" s="54" t="s">
        <v>228</v>
      </c>
      <c r="G74" s="54" t="s">
        <v>229</v>
      </c>
      <c r="H74" s="54" t="s">
        <v>218</v>
      </c>
      <c r="I74" s="54">
        <v>1393</v>
      </c>
      <c r="J74" s="55">
        <v>43846</v>
      </c>
      <c r="K74" s="54">
        <f t="shared" si="0"/>
        <v>19</v>
      </c>
      <c r="L74" t="str" cm="1">
        <f t="array" ref="L74">_xlfn.IFS(E74&lt;=19,"Teenager",19&lt;=E74&lt;25,"Young",E74&gt;25,"Adult")</f>
        <v>Adult</v>
      </c>
      <c r="M74" t="str">
        <f t="shared" si="1"/>
        <v>Adult</v>
      </c>
    </row>
    <row r="75" spans="1:13" ht="15.75" customHeight="1" x14ac:dyDescent="0.2">
      <c r="A75" s="54">
        <v>20</v>
      </c>
      <c r="B75" s="54" t="s">
        <v>230</v>
      </c>
      <c r="C75" s="54" t="s">
        <v>231</v>
      </c>
      <c r="D75" s="54" t="s">
        <v>146</v>
      </c>
      <c r="E75" s="54">
        <v>24</v>
      </c>
      <c r="F75" s="54" t="s">
        <v>232</v>
      </c>
      <c r="G75" s="54" t="s">
        <v>233</v>
      </c>
      <c r="H75" s="54" t="s">
        <v>183</v>
      </c>
      <c r="I75" s="54">
        <v>859</v>
      </c>
      <c r="J75" s="55">
        <v>43946</v>
      </c>
      <c r="K75" s="54" t="str">
        <f t="shared" si="0"/>
        <v>20₀</v>
      </c>
      <c r="L75" t="e" cm="1">
        <f t="array" ref="L75">_xlfn.IFS(E75&lt;=19,"Teenager",19&lt;=E75&lt;25,"Young",E75&gt;25,"Adult")</f>
        <v>#N/A</v>
      </c>
      <c r="M75" t="str">
        <f t="shared" si="1"/>
        <v>Red</v>
      </c>
    </row>
    <row r="76" spans="1:13" ht="15.75" customHeight="1" x14ac:dyDescent="0.2">
      <c r="A76" s="54">
        <v>21</v>
      </c>
      <c r="B76" s="54" t="s">
        <v>234</v>
      </c>
      <c r="C76" s="54" t="s">
        <v>235</v>
      </c>
      <c r="D76" s="54" t="s">
        <v>140</v>
      </c>
      <c r="E76" s="54">
        <v>26</v>
      </c>
      <c r="F76" s="54" t="s">
        <v>236</v>
      </c>
      <c r="G76" s="54" t="s">
        <v>237</v>
      </c>
      <c r="H76" s="54" t="s">
        <v>238</v>
      </c>
      <c r="I76" s="54">
        <v>9461</v>
      </c>
      <c r="J76" s="55">
        <v>44140</v>
      </c>
      <c r="K76" s="54">
        <f t="shared" si="0"/>
        <v>21</v>
      </c>
      <c r="L76" t="str" cm="1">
        <f t="array" ref="L76">_xlfn.IFS(E76&lt;=19,"Teenager",19&lt;=E76&lt;25,"Young",E76&gt;25,"Adult")</f>
        <v>Adult</v>
      </c>
      <c r="M76" t="str">
        <f t="shared" si="1"/>
        <v>Adult</v>
      </c>
    </row>
    <row r="77" spans="1:13" ht="15.75" customHeight="1" x14ac:dyDescent="0.2">
      <c r="A77" s="54">
        <v>22</v>
      </c>
      <c r="B77" s="54" t="s">
        <v>239</v>
      </c>
      <c r="C77" s="54" t="s">
        <v>240</v>
      </c>
      <c r="D77" s="54" t="s">
        <v>146</v>
      </c>
      <c r="E77" s="54">
        <v>22</v>
      </c>
      <c r="F77" s="54" t="s">
        <v>241</v>
      </c>
      <c r="G77" s="54" t="s">
        <v>242</v>
      </c>
      <c r="H77" s="54" t="s">
        <v>154</v>
      </c>
      <c r="I77" s="54">
        <v>3639</v>
      </c>
      <c r="J77" s="55">
        <v>43904</v>
      </c>
      <c r="K77" s="54">
        <f t="shared" si="0"/>
        <v>22</v>
      </c>
      <c r="L77" t="e" cm="1">
        <f t="array" ref="L77">_xlfn.IFS(E77&lt;=19,"Teenager",19&lt;=E77&lt;25,"Young",E77&gt;25,"Adult")</f>
        <v>#N/A</v>
      </c>
      <c r="M77" t="str">
        <f t="shared" si="1"/>
        <v>Red</v>
      </c>
    </row>
    <row r="78" spans="1:13" ht="15.75" customHeight="1" x14ac:dyDescent="0.2">
      <c r="A78" s="54">
        <v>23</v>
      </c>
      <c r="B78" s="54" t="s">
        <v>199</v>
      </c>
      <c r="C78" s="54" t="s">
        <v>243</v>
      </c>
      <c r="D78" s="54" t="s">
        <v>146</v>
      </c>
      <c r="E78" s="54">
        <v>22</v>
      </c>
      <c r="F78" s="54" t="s">
        <v>244</v>
      </c>
      <c r="G78" s="54" t="s">
        <v>245</v>
      </c>
      <c r="H78" s="54" t="s">
        <v>246</v>
      </c>
      <c r="I78" s="54">
        <v>1503</v>
      </c>
      <c r="J78" s="55">
        <v>43941</v>
      </c>
      <c r="K78" s="54">
        <f t="shared" si="0"/>
        <v>23</v>
      </c>
      <c r="L78" t="e" cm="1">
        <f t="array" ref="L78">_xlfn.IFS(E78&lt;=19,"Teenager",19&lt;=E78&lt;25,"Young",E78&gt;25,"Adult")</f>
        <v>#N/A</v>
      </c>
      <c r="M78" t="str">
        <f t="shared" si="1"/>
        <v>Red</v>
      </c>
    </row>
    <row r="79" spans="1:13" ht="15.75" customHeight="1" x14ac:dyDescent="0.2">
      <c r="A79" s="54">
        <v>24</v>
      </c>
      <c r="B79" s="54" t="s">
        <v>247</v>
      </c>
      <c r="C79" s="54" t="s">
        <v>248</v>
      </c>
      <c r="D79" s="54" t="s">
        <v>140</v>
      </c>
      <c r="E79" s="54">
        <v>26</v>
      </c>
      <c r="F79" s="54" t="s">
        <v>249</v>
      </c>
      <c r="G79" s="54" t="s">
        <v>250</v>
      </c>
      <c r="H79" s="54" t="s">
        <v>251</v>
      </c>
      <c r="I79" s="54">
        <v>4459</v>
      </c>
      <c r="J79" s="55">
        <v>43928</v>
      </c>
      <c r="K79" s="54">
        <f t="shared" si="0"/>
        <v>24</v>
      </c>
      <c r="L79" t="str" cm="1">
        <f t="array" ref="L79">_xlfn.IFS(E79&lt;=19,"Teenager",19&lt;=E79&lt;25,"Young",E79&gt;25,"Adult")</f>
        <v>Adult</v>
      </c>
      <c r="M79" t="str">
        <f t="shared" si="1"/>
        <v>Adult</v>
      </c>
    </row>
    <row r="80" spans="1:13" ht="15.75" customHeight="1" x14ac:dyDescent="0.2">
      <c r="A80" s="54">
        <v>25</v>
      </c>
      <c r="B80" s="54" t="s">
        <v>252</v>
      </c>
      <c r="C80" s="54" t="s">
        <v>166</v>
      </c>
      <c r="D80" s="54" t="s">
        <v>146</v>
      </c>
      <c r="E80" s="54">
        <v>25</v>
      </c>
      <c r="F80" s="54" t="s">
        <v>253</v>
      </c>
      <c r="G80" s="54" t="s">
        <v>254</v>
      </c>
      <c r="H80" s="54" t="s">
        <v>255</v>
      </c>
      <c r="I80" s="54">
        <v>7697</v>
      </c>
      <c r="J80" s="55">
        <v>43845</v>
      </c>
      <c r="K80" s="54">
        <f t="shared" si="0"/>
        <v>25</v>
      </c>
      <c r="L80" t="e" cm="1">
        <f t="array" ref="L80">_xlfn.IFS(E80&lt;=19,"Teenager",19&lt;=E80&lt;25,"Young",E80&gt;25,"Adult")</f>
        <v>#N/A</v>
      </c>
      <c r="M80" t="str">
        <f t="shared" si="1"/>
        <v>Red</v>
      </c>
    </row>
    <row r="81" spans="1:13" ht="15.75" customHeight="1" x14ac:dyDescent="0.2">
      <c r="A81" s="54">
        <v>26</v>
      </c>
      <c r="B81" s="54" t="s">
        <v>144</v>
      </c>
      <c r="C81" s="54" t="s">
        <v>195</v>
      </c>
      <c r="D81" s="54" t="s">
        <v>146</v>
      </c>
      <c r="E81" s="54">
        <v>22</v>
      </c>
      <c r="F81" s="54" t="s">
        <v>256</v>
      </c>
      <c r="G81" s="54" t="s">
        <v>257</v>
      </c>
      <c r="H81" s="54" t="s">
        <v>258</v>
      </c>
      <c r="I81" s="54">
        <v>8420</v>
      </c>
      <c r="J81" s="55">
        <v>44107</v>
      </c>
      <c r="K81" s="54">
        <f t="shared" si="0"/>
        <v>26</v>
      </c>
      <c r="L81" t="e" cm="1">
        <f t="array" ref="L81">_xlfn.IFS(E81&lt;=19,"Teenager",19&lt;=E81&lt;25,"Young",E81&gt;25,"Adult")</f>
        <v>#N/A</v>
      </c>
      <c r="M81" t="str">
        <f t="shared" si="1"/>
        <v>Red</v>
      </c>
    </row>
    <row r="82" spans="1:13" ht="15.75" customHeight="1" x14ac:dyDescent="0.2">
      <c r="A82" s="54">
        <v>27</v>
      </c>
      <c r="B82" s="54" t="s">
        <v>259</v>
      </c>
      <c r="C82" s="54" t="s">
        <v>260</v>
      </c>
      <c r="D82" s="54" t="s">
        <v>140</v>
      </c>
      <c r="E82" s="54">
        <v>18</v>
      </c>
      <c r="F82" s="54" t="s">
        <v>261</v>
      </c>
      <c r="G82" s="54" t="s">
        <v>262</v>
      </c>
      <c r="H82" s="54" t="s">
        <v>263</v>
      </c>
      <c r="I82" s="54">
        <v>4937</v>
      </c>
      <c r="J82" s="55">
        <v>43982</v>
      </c>
      <c r="K82" s="54">
        <f t="shared" si="0"/>
        <v>27</v>
      </c>
      <c r="L82" t="str" cm="1">
        <f t="array" ref="L82">_xlfn.IFS(E82&lt;=19,"Teenager",19&lt;=E82&lt;25,"Young",E82&gt;25,"Adult")</f>
        <v>Teenager</v>
      </c>
      <c r="M82" t="str">
        <f t="shared" si="1"/>
        <v>Teenager</v>
      </c>
    </row>
    <row r="83" spans="1:13" x14ac:dyDescent="0.2">
      <c r="A83" s="54">
        <v>28</v>
      </c>
      <c r="B83" s="54" t="s">
        <v>264</v>
      </c>
      <c r="C83" s="54" t="s">
        <v>265</v>
      </c>
      <c r="D83" s="54" t="s">
        <v>140</v>
      </c>
      <c r="E83" s="54">
        <v>24</v>
      </c>
      <c r="F83" s="54" t="s">
        <v>266</v>
      </c>
      <c r="G83" s="54" t="s">
        <v>267</v>
      </c>
      <c r="H83" s="54" t="s">
        <v>258</v>
      </c>
      <c r="I83" s="54">
        <v>3898</v>
      </c>
      <c r="J83" s="55">
        <v>43992</v>
      </c>
      <c r="K83" s="54">
        <f t="shared" si="0"/>
        <v>28</v>
      </c>
      <c r="L83" t="e" cm="1">
        <f t="array" ref="L83">_xlfn.IFS(E83&lt;=19,"Teenager",19&lt;=E83&lt;25,"Young",E83&gt;25,"Adult")</f>
        <v>#N/A</v>
      </c>
      <c r="M83" t="str">
        <f t="shared" si="1"/>
        <v>Red</v>
      </c>
    </row>
    <row r="84" spans="1:13" x14ac:dyDescent="0.2">
      <c r="A84" s="54">
        <v>29</v>
      </c>
      <c r="B84" s="54" t="s">
        <v>268</v>
      </c>
      <c r="C84" s="54" t="s">
        <v>234</v>
      </c>
      <c r="D84" s="54" t="s">
        <v>140</v>
      </c>
      <c r="E84" s="54">
        <v>27</v>
      </c>
      <c r="F84" s="54" t="s">
        <v>269</v>
      </c>
      <c r="G84" s="54" t="s">
        <v>270</v>
      </c>
      <c r="H84" s="54" t="s">
        <v>271</v>
      </c>
      <c r="I84" s="54">
        <v>2804</v>
      </c>
      <c r="J84" s="55">
        <v>44078</v>
      </c>
      <c r="K84" s="54">
        <f t="shared" si="0"/>
        <v>29</v>
      </c>
      <c r="L84" t="str" cm="1">
        <f t="array" ref="L84">_xlfn.IFS(E84&lt;=19,"Teenager",19&lt;=E84&lt;25,"Young",E84&gt;25,"Adult")</f>
        <v>Adult</v>
      </c>
      <c r="M84" t="str">
        <f t="shared" si="1"/>
        <v>Adult</v>
      </c>
    </row>
    <row r="85" spans="1:13" x14ac:dyDescent="0.2">
      <c r="A85" s="54">
        <v>30</v>
      </c>
      <c r="B85" s="54" t="s">
        <v>194</v>
      </c>
      <c r="C85" s="54" t="s">
        <v>272</v>
      </c>
      <c r="D85" s="54" t="s">
        <v>146</v>
      </c>
      <c r="E85" s="54">
        <v>29</v>
      </c>
      <c r="F85" s="54" t="s">
        <v>273</v>
      </c>
      <c r="G85" s="54" t="s">
        <v>274</v>
      </c>
      <c r="H85" s="54" t="s">
        <v>275</v>
      </c>
      <c r="I85" s="54">
        <v>705</v>
      </c>
      <c r="J85" s="55">
        <v>43981</v>
      </c>
      <c r="K85" s="54" t="str">
        <f t="shared" si="0"/>
        <v>30₀</v>
      </c>
      <c r="L85" t="str" cm="1">
        <f t="array" ref="L85">_xlfn.IFS(E85&lt;=19,"Teenager",19&lt;=E85&lt;25,"Young",E85&gt;25,"Adult")</f>
        <v>Adult</v>
      </c>
      <c r="M85" t="str">
        <f t="shared" si="1"/>
        <v>Adult</v>
      </c>
    </row>
    <row r="86" spans="1:13" x14ac:dyDescent="0.2">
      <c r="A86" s="54">
        <v>31</v>
      </c>
      <c r="B86" s="54" t="s">
        <v>276</v>
      </c>
      <c r="C86" s="54" t="s">
        <v>277</v>
      </c>
      <c r="D86" s="54" t="s">
        <v>146</v>
      </c>
      <c r="E86" s="54">
        <v>18</v>
      </c>
      <c r="F86" s="54" t="s">
        <v>278</v>
      </c>
      <c r="G86" s="54" t="s">
        <v>279</v>
      </c>
      <c r="H86" s="54" t="s">
        <v>280</v>
      </c>
      <c r="I86" s="54">
        <v>7114</v>
      </c>
      <c r="J86" s="55">
        <v>44173</v>
      </c>
      <c r="K86" s="54">
        <f t="shared" si="0"/>
        <v>31</v>
      </c>
      <c r="L86" t="str" cm="1">
        <f t="array" ref="L86">_xlfn.IFS(E86&lt;=19,"Teenager",19&lt;=E86&lt;25,"Young",E86&gt;25,"Adult")</f>
        <v>Teenager</v>
      </c>
      <c r="M86" t="str">
        <f t="shared" si="1"/>
        <v>Teenager</v>
      </c>
    </row>
    <row r="87" spans="1:13" x14ac:dyDescent="0.2">
      <c r="A87" s="54">
        <v>32</v>
      </c>
      <c r="B87" s="54" t="s">
        <v>281</v>
      </c>
      <c r="C87" s="54" t="s">
        <v>282</v>
      </c>
      <c r="D87" s="54" t="s">
        <v>140</v>
      </c>
      <c r="E87" s="54">
        <v>30</v>
      </c>
      <c r="F87" s="54" t="s">
        <v>283</v>
      </c>
      <c r="G87" s="54" t="s">
        <v>284</v>
      </c>
      <c r="H87" s="54" t="s">
        <v>188</v>
      </c>
      <c r="I87" s="54">
        <v>1019</v>
      </c>
      <c r="J87" s="55">
        <v>44076</v>
      </c>
      <c r="K87" s="54">
        <f t="shared" si="0"/>
        <v>32</v>
      </c>
      <c r="L87" t="str" cm="1">
        <f t="array" ref="L87">_xlfn.IFS(E87&lt;=19,"Teenager",19&lt;=E87&lt;25,"Young",E87&gt;25,"Adult")</f>
        <v>Adult</v>
      </c>
      <c r="M87" t="str">
        <f t="shared" si="1"/>
        <v>Adult</v>
      </c>
    </row>
    <row r="88" spans="1:13" x14ac:dyDescent="0.2">
      <c r="A88" s="54">
        <v>33</v>
      </c>
      <c r="B88" s="54" t="s">
        <v>285</v>
      </c>
      <c r="C88" s="54" t="s">
        <v>286</v>
      </c>
      <c r="D88" s="54" t="s">
        <v>146</v>
      </c>
      <c r="E88" s="54">
        <v>24</v>
      </c>
      <c r="F88" s="54" t="s">
        <v>287</v>
      </c>
      <c r="G88" s="54" t="s">
        <v>288</v>
      </c>
      <c r="H88" s="54" t="s">
        <v>246</v>
      </c>
      <c r="I88" s="54">
        <v>5463</v>
      </c>
      <c r="J88" s="55">
        <v>43882</v>
      </c>
      <c r="K88" s="54">
        <f t="shared" si="0"/>
        <v>33</v>
      </c>
      <c r="L88" t="e" cm="1">
        <f t="array" ref="L88">_xlfn.IFS(E88&lt;=19,"Teenager",19&lt;=E88&lt;25,"Young",E88&gt;25,"Adult")</f>
        <v>#N/A</v>
      </c>
      <c r="M88" t="str">
        <f t="shared" si="1"/>
        <v>Red</v>
      </c>
    </row>
    <row r="89" spans="1:13" x14ac:dyDescent="0.2">
      <c r="A89" s="54">
        <v>34</v>
      </c>
      <c r="B89" s="54" t="s">
        <v>289</v>
      </c>
      <c r="C89" s="54" t="s">
        <v>290</v>
      </c>
      <c r="D89" s="54" t="s">
        <v>140</v>
      </c>
      <c r="E89" s="54">
        <v>27</v>
      </c>
      <c r="F89" s="54" t="s">
        <v>291</v>
      </c>
      <c r="G89" s="54" t="s">
        <v>292</v>
      </c>
      <c r="H89" s="54" t="s">
        <v>293</v>
      </c>
      <c r="I89" s="54">
        <v>3861</v>
      </c>
      <c r="J89" s="55">
        <v>44193</v>
      </c>
      <c r="K89" s="54">
        <f t="shared" si="0"/>
        <v>34</v>
      </c>
      <c r="L89" t="str" cm="1">
        <f t="array" ref="L89">_xlfn.IFS(E89&lt;=19,"Teenager",19&lt;=E89&lt;25,"Young",E89&gt;25,"Adult")</f>
        <v>Adult</v>
      </c>
      <c r="M89" t="str">
        <f t="shared" si="1"/>
        <v>Adult</v>
      </c>
    </row>
    <row r="90" spans="1:13" x14ac:dyDescent="0.2">
      <c r="A90" s="54">
        <v>35</v>
      </c>
      <c r="B90" s="54" t="s">
        <v>294</v>
      </c>
      <c r="C90" s="54" t="s">
        <v>282</v>
      </c>
      <c r="D90" s="54" t="s">
        <v>146</v>
      </c>
      <c r="E90" s="54">
        <v>28</v>
      </c>
      <c r="F90" s="54" t="s">
        <v>295</v>
      </c>
      <c r="G90" s="54" t="s">
        <v>296</v>
      </c>
      <c r="H90" s="54" t="s">
        <v>297</v>
      </c>
      <c r="I90" s="54">
        <v>8335</v>
      </c>
      <c r="J90" s="55">
        <v>44186</v>
      </c>
      <c r="K90" s="54">
        <f t="shared" si="0"/>
        <v>35</v>
      </c>
      <c r="L90" t="str" cm="1">
        <f t="array" ref="L90">_xlfn.IFS(E90&lt;=19,"Teenager",19&lt;=E90&lt;25,"Young",E90&gt;25,"Adult")</f>
        <v>Adult</v>
      </c>
      <c r="M90" t="str">
        <f t="shared" si="1"/>
        <v>Adult</v>
      </c>
    </row>
    <row r="91" spans="1:13" x14ac:dyDescent="0.2">
      <c r="A91" s="54">
        <v>36</v>
      </c>
      <c r="B91" s="54" t="s">
        <v>204</v>
      </c>
      <c r="C91" s="54" t="s">
        <v>298</v>
      </c>
      <c r="D91" s="54" t="s">
        <v>146</v>
      </c>
      <c r="E91" s="54">
        <v>25</v>
      </c>
      <c r="F91" s="54" t="s">
        <v>299</v>
      </c>
      <c r="G91" s="54" t="s">
        <v>300</v>
      </c>
      <c r="H91" s="54" t="s">
        <v>301</v>
      </c>
      <c r="I91" s="54">
        <v>2054</v>
      </c>
      <c r="J91" s="55">
        <v>44027</v>
      </c>
      <c r="K91" s="54">
        <f t="shared" si="0"/>
        <v>36</v>
      </c>
      <c r="L91" t="e" cm="1">
        <f t="array" ref="L91">_xlfn.IFS(E91&lt;=19,"Teenager",19&lt;=E91&lt;25,"Young",E91&gt;25,"Adult")</f>
        <v>#N/A</v>
      </c>
      <c r="M91" t="str">
        <f t="shared" si="1"/>
        <v>Red</v>
      </c>
    </row>
    <row r="92" spans="1:13" x14ac:dyDescent="0.2">
      <c r="A92" s="54">
        <v>37</v>
      </c>
      <c r="B92" s="54" t="s">
        <v>302</v>
      </c>
      <c r="C92" s="54" t="s">
        <v>303</v>
      </c>
      <c r="D92" s="54" t="s">
        <v>140</v>
      </c>
      <c r="E92" s="54">
        <v>28</v>
      </c>
      <c r="F92" s="54" t="s">
        <v>304</v>
      </c>
      <c r="G92" s="54" t="s">
        <v>305</v>
      </c>
      <c r="H92" s="54" t="s">
        <v>306</v>
      </c>
      <c r="I92" s="54">
        <v>1336</v>
      </c>
      <c r="J92" s="55">
        <v>44047</v>
      </c>
      <c r="K92" s="54">
        <f t="shared" si="0"/>
        <v>37</v>
      </c>
      <c r="L92" t="str" cm="1">
        <f t="array" ref="L92">_xlfn.IFS(E92&lt;=19,"Teenager",19&lt;=E92&lt;25,"Young",E92&gt;25,"Adult")</f>
        <v>Adult</v>
      </c>
      <c r="M92" t="str">
        <f t="shared" si="1"/>
        <v>Adult</v>
      </c>
    </row>
    <row r="93" spans="1:13" x14ac:dyDescent="0.2">
      <c r="A93" s="54">
        <v>38</v>
      </c>
      <c r="B93" s="54" t="s">
        <v>307</v>
      </c>
      <c r="C93" s="54" t="s">
        <v>308</v>
      </c>
      <c r="D93" s="54" t="s">
        <v>140</v>
      </c>
      <c r="E93" s="54">
        <v>18</v>
      </c>
      <c r="F93" s="54" t="s">
        <v>309</v>
      </c>
      <c r="G93" s="54" t="s">
        <v>310</v>
      </c>
      <c r="H93" s="54" t="s">
        <v>297</v>
      </c>
      <c r="I93" s="54">
        <v>3517</v>
      </c>
      <c r="J93" s="55">
        <v>44027</v>
      </c>
      <c r="K93" s="54">
        <f t="shared" si="0"/>
        <v>38</v>
      </c>
      <c r="L93" t="str" cm="1">
        <f t="array" ref="L93">_xlfn.IFS(E93&lt;=19,"Teenager",19&lt;=E93&lt;25,"Young",E93&gt;25,"Adult")</f>
        <v>Teenager</v>
      </c>
      <c r="M93" t="str">
        <f t="shared" si="1"/>
        <v>Teenager</v>
      </c>
    </row>
    <row r="94" spans="1:13" x14ac:dyDescent="0.2">
      <c r="A94" s="54">
        <v>39</v>
      </c>
      <c r="B94" s="54" t="s">
        <v>311</v>
      </c>
      <c r="C94" s="54" t="s">
        <v>312</v>
      </c>
      <c r="D94" s="54" t="s">
        <v>140</v>
      </c>
      <c r="E94" s="54">
        <v>20</v>
      </c>
      <c r="F94" s="54" t="s">
        <v>313</v>
      </c>
      <c r="G94" s="54" t="s">
        <v>314</v>
      </c>
      <c r="H94" s="54" t="s">
        <v>315</v>
      </c>
      <c r="I94" s="54">
        <v>773</v>
      </c>
      <c r="J94" s="55">
        <v>43950</v>
      </c>
      <c r="K94" s="54">
        <f t="shared" si="0"/>
        <v>39</v>
      </c>
      <c r="L94" t="e" cm="1">
        <f t="array" ref="L94">_xlfn.IFS(E94&lt;=19,"Teenager",19&lt;=E94&lt;25,"Young",E94&gt;25,"Adult")</f>
        <v>#N/A</v>
      </c>
      <c r="M94" t="str">
        <f t="shared" si="1"/>
        <v>Red</v>
      </c>
    </row>
    <row r="95" spans="1:13" x14ac:dyDescent="0.2">
      <c r="A95" s="54">
        <v>40</v>
      </c>
      <c r="B95" s="54" t="s">
        <v>316</v>
      </c>
      <c r="C95" s="54" t="s">
        <v>317</v>
      </c>
      <c r="D95" s="54" t="s">
        <v>140</v>
      </c>
      <c r="E95" s="54">
        <v>20</v>
      </c>
      <c r="F95" s="54" t="s">
        <v>318</v>
      </c>
      <c r="G95" s="54" t="s">
        <v>319</v>
      </c>
      <c r="H95" s="54" t="s">
        <v>320</v>
      </c>
      <c r="I95" s="54">
        <v>1241</v>
      </c>
      <c r="J95" s="55">
        <v>43954</v>
      </c>
      <c r="K95" s="54" t="str">
        <f t="shared" si="0"/>
        <v>40₀</v>
      </c>
      <c r="L95" t="e" cm="1">
        <f t="array" ref="L95">_xlfn.IFS(E95&lt;=19,"Teenager",19&lt;=E95&lt;25,"Young",E95&gt;25,"Adult")</f>
        <v>#N/A</v>
      </c>
      <c r="M95" t="str">
        <f t="shared" si="1"/>
        <v>Red</v>
      </c>
    </row>
    <row r="96" spans="1:13" x14ac:dyDescent="0.2">
      <c r="A96" s="54">
        <v>41</v>
      </c>
      <c r="B96" s="54" t="s">
        <v>321</v>
      </c>
      <c r="C96" s="54" t="s">
        <v>200</v>
      </c>
      <c r="D96" s="54" t="s">
        <v>140</v>
      </c>
      <c r="E96" s="54">
        <v>20</v>
      </c>
      <c r="F96" s="54" t="s">
        <v>322</v>
      </c>
      <c r="G96" s="54" t="s">
        <v>323</v>
      </c>
      <c r="H96" s="54" t="s">
        <v>324</v>
      </c>
      <c r="I96" s="54">
        <v>7538</v>
      </c>
      <c r="J96" s="55">
        <v>44061</v>
      </c>
      <c r="K96" s="54">
        <f t="shared" si="0"/>
        <v>41</v>
      </c>
      <c r="L96" t="e" cm="1">
        <f t="array" ref="L96">_xlfn.IFS(E96&lt;=19,"Teenager",19&lt;=E96&lt;25,"Young",E96&gt;25,"Adult")</f>
        <v>#N/A</v>
      </c>
      <c r="M96" t="str">
        <f t="shared" si="1"/>
        <v>Red</v>
      </c>
    </row>
    <row r="97" spans="1:13" x14ac:dyDescent="0.2">
      <c r="A97" s="54">
        <v>42</v>
      </c>
      <c r="B97" s="54" t="s">
        <v>289</v>
      </c>
      <c r="C97" s="54" t="s">
        <v>325</v>
      </c>
      <c r="D97" s="54" t="s">
        <v>140</v>
      </c>
      <c r="E97" s="54">
        <v>24</v>
      </c>
      <c r="F97" s="54" t="s">
        <v>326</v>
      </c>
      <c r="G97" s="54" t="s">
        <v>327</v>
      </c>
      <c r="H97" s="54" t="s">
        <v>328</v>
      </c>
      <c r="I97" s="54">
        <v>9161</v>
      </c>
      <c r="J97" s="55">
        <v>43964</v>
      </c>
      <c r="K97" s="54">
        <f t="shared" si="0"/>
        <v>42</v>
      </c>
      <c r="L97" t="e" cm="1">
        <f t="array" ref="L97">_xlfn.IFS(E97&lt;=19,"Teenager",19&lt;=E97&lt;25,"Young",E97&gt;25,"Adult")</f>
        <v>#N/A</v>
      </c>
      <c r="M97" t="str">
        <f t="shared" si="1"/>
        <v>Red</v>
      </c>
    </row>
    <row r="98" spans="1:13" x14ac:dyDescent="0.2">
      <c r="A98" s="54">
        <v>43</v>
      </c>
      <c r="B98" s="54" t="s">
        <v>329</v>
      </c>
      <c r="C98" s="54" t="s">
        <v>231</v>
      </c>
      <c r="D98" s="54" t="s">
        <v>146</v>
      </c>
      <c r="E98" s="54">
        <v>20</v>
      </c>
      <c r="F98" s="54" t="s">
        <v>330</v>
      </c>
      <c r="G98" s="54" t="s">
        <v>331</v>
      </c>
      <c r="H98" s="54" t="s">
        <v>332</v>
      </c>
      <c r="I98" s="54">
        <v>2191</v>
      </c>
      <c r="J98" s="55">
        <v>43993</v>
      </c>
      <c r="K98" s="54">
        <f t="shared" si="0"/>
        <v>43</v>
      </c>
      <c r="L98" t="e" cm="1">
        <f t="array" ref="L98">_xlfn.IFS(E98&lt;=19,"Teenager",19&lt;=E98&lt;25,"Young",E98&gt;25,"Adult")</f>
        <v>#N/A</v>
      </c>
      <c r="M98" t="str">
        <f t="shared" si="1"/>
        <v>Red</v>
      </c>
    </row>
    <row r="99" spans="1:13" x14ac:dyDescent="0.2">
      <c r="A99" s="54">
        <v>44</v>
      </c>
      <c r="B99" s="54" t="s">
        <v>333</v>
      </c>
      <c r="C99" s="54" t="s">
        <v>260</v>
      </c>
      <c r="D99" s="54" t="s">
        <v>140</v>
      </c>
      <c r="E99" s="54">
        <v>30</v>
      </c>
      <c r="F99" s="54" t="s">
        <v>334</v>
      </c>
      <c r="G99" s="54" t="s">
        <v>335</v>
      </c>
      <c r="H99" s="54" t="s">
        <v>336</v>
      </c>
      <c r="I99" s="54">
        <v>3488</v>
      </c>
      <c r="J99" s="55">
        <v>43927</v>
      </c>
      <c r="K99" s="54">
        <f t="shared" si="0"/>
        <v>44</v>
      </c>
      <c r="L99" t="str" cm="1">
        <f t="array" ref="L99">_xlfn.IFS(E99&lt;=19,"Teenager",19&lt;=E99&lt;25,"Young",E99&gt;25,"Adult")</f>
        <v>Adult</v>
      </c>
      <c r="M99" t="str">
        <f t="shared" si="1"/>
        <v>Adult</v>
      </c>
    </row>
    <row r="100" spans="1:13" x14ac:dyDescent="0.2">
      <c r="A100" s="54">
        <v>45</v>
      </c>
      <c r="B100" s="54" t="s">
        <v>337</v>
      </c>
      <c r="C100" s="54" t="s">
        <v>338</v>
      </c>
      <c r="D100" s="54" t="s">
        <v>146</v>
      </c>
      <c r="E100" s="54">
        <v>25</v>
      </c>
      <c r="F100" s="54" t="s">
        <v>339</v>
      </c>
      <c r="G100" s="54" t="s">
        <v>340</v>
      </c>
      <c r="H100" s="54" t="s">
        <v>164</v>
      </c>
      <c r="I100" s="54">
        <v>7453</v>
      </c>
      <c r="J100" s="55">
        <v>44125</v>
      </c>
      <c r="K100" s="54">
        <f t="shared" si="0"/>
        <v>45</v>
      </c>
      <c r="L100" t="e" cm="1">
        <f t="array" ref="L100">_xlfn.IFS(E100&lt;=19,"Teenager",19&lt;=E100&lt;25,"Young",E100&gt;25,"Adult")</f>
        <v>#N/A</v>
      </c>
      <c r="M100" t="str">
        <f t="shared" si="1"/>
        <v>Red</v>
      </c>
    </row>
    <row r="101" spans="1:13" x14ac:dyDescent="0.2">
      <c r="A101" s="54">
        <v>46</v>
      </c>
      <c r="B101" s="54" t="s">
        <v>341</v>
      </c>
      <c r="C101" s="54" t="s">
        <v>308</v>
      </c>
      <c r="D101" s="54" t="s">
        <v>146</v>
      </c>
      <c r="E101" s="54">
        <v>21</v>
      </c>
      <c r="F101" s="54" t="s">
        <v>342</v>
      </c>
      <c r="G101" s="54" t="s">
        <v>343</v>
      </c>
      <c r="H101" s="54" t="s">
        <v>218</v>
      </c>
      <c r="I101" s="54">
        <v>8944</v>
      </c>
      <c r="J101" s="55">
        <v>44193</v>
      </c>
      <c r="K101" s="54">
        <f t="shared" si="0"/>
        <v>46</v>
      </c>
      <c r="L101" t="e" cm="1">
        <f t="array" ref="L101">_xlfn.IFS(E101&lt;=19,"Teenager",19&lt;=E101&lt;25,"Young",E101&gt;25,"Adult")</f>
        <v>#N/A</v>
      </c>
      <c r="M101" t="str">
        <f t="shared" si="1"/>
        <v>Red</v>
      </c>
    </row>
    <row r="102" spans="1:13" x14ac:dyDescent="0.2">
      <c r="A102" s="54">
        <v>47</v>
      </c>
      <c r="B102" s="54" t="s">
        <v>344</v>
      </c>
      <c r="C102" s="54" t="s">
        <v>345</v>
      </c>
      <c r="D102" s="54" t="s">
        <v>140</v>
      </c>
      <c r="E102" s="54">
        <v>20</v>
      </c>
      <c r="F102" s="54" t="s">
        <v>346</v>
      </c>
      <c r="G102" s="54" t="s">
        <v>347</v>
      </c>
      <c r="H102" s="54" t="s">
        <v>348</v>
      </c>
      <c r="I102" s="54">
        <v>6086</v>
      </c>
      <c r="J102" s="55">
        <v>44136</v>
      </c>
      <c r="K102" s="54">
        <f t="shared" si="0"/>
        <v>47</v>
      </c>
      <c r="L102" t="e" cm="1">
        <f t="array" ref="L102">_xlfn.IFS(E102&lt;=19,"Teenager",19&lt;=E102&lt;25,"Young",E102&gt;25,"Adult")</f>
        <v>#N/A</v>
      </c>
      <c r="M102" t="str">
        <f t="shared" si="1"/>
        <v>Red</v>
      </c>
    </row>
    <row r="103" spans="1:13" x14ac:dyDescent="0.2">
      <c r="A103" s="54">
        <v>48</v>
      </c>
      <c r="B103" s="54" t="s">
        <v>349</v>
      </c>
      <c r="C103" s="54" t="s">
        <v>350</v>
      </c>
      <c r="D103" s="54" t="s">
        <v>140</v>
      </c>
      <c r="E103" s="54">
        <v>27</v>
      </c>
      <c r="F103" s="54" t="s">
        <v>351</v>
      </c>
      <c r="G103" s="54" t="s">
        <v>352</v>
      </c>
      <c r="H103" s="54" t="s">
        <v>353</v>
      </c>
      <c r="I103" s="54">
        <v>8738</v>
      </c>
      <c r="J103" s="55">
        <v>43900</v>
      </c>
      <c r="K103" s="54">
        <f t="shared" si="0"/>
        <v>48</v>
      </c>
      <c r="L103" t="str" cm="1">
        <f t="array" ref="L103">_xlfn.IFS(E103&lt;=19,"Teenager",19&lt;=E103&lt;25,"Young",E103&gt;25,"Adult")</f>
        <v>Adult</v>
      </c>
      <c r="M103" t="str">
        <f t="shared" si="1"/>
        <v>Adult</v>
      </c>
    </row>
    <row r="104" spans="1:13" x14ac:dyDescent="0.2">
      <c r="A104" s="54">
        <v>49</v>
      </c>
      <c r="B104" s="54" t="s">
        <v>354</v>
      </c>
      <c r="C104" s="54" t="s">
        <v>355</v>
      </c>
      <c r="D104" s="54" t="s">
        <v>140</v>
      </c>
      <c r="E104" s="54">
        <v>22</v>
      </c>
      <c r="F104" s="54" t="s">
        <v>356</v>
      </c>
      <c r="G104" s="54" t="s">
        <v>357</v>
      </c>
      <c r="H104" s="54" t="s">
        <v>358</v>
      </c>
      <c r="I104" s="54">
        <v>9868</v>
      </c>
      <c r="J104" s="55">
        <v>43879</v>
      </c>
      <c r="K104" s="54">
        <f t="shared" si="0"/>
        <v>49</v>
      </c>
      <c r="L104" t="e" cm="1">
        <f t="array" ref="L104">_xlfn.IFS(E104&lt;=19,"Teenager",19&lt;=E104&lt;25,"Young",E104&gt;25,"Adult")</f>
        <v>#N/A</v>
      </c>
      <c r="M104" t="str">
        <f t="shared" si="1"/>
        <v>Red</v>
      </c>
    </row>
    <row r="105" spans="1:13" x14ac:dyDescent="0.2">
      <c r="A105" s="54">
        <v>50</v>
      </c>
      <c r="B105" s="54" t="s">
        <v>359</v>
      </c>
      <c r="C105" s="54" t="s">
        <v>360</v>
      </c>
      <c r="D105" s="54" t="s">
        <v>140</v>
      </c>
      <c r="E105" s="54">
        <v>26</v>
      </c>
      <c r="F105" s="54" t="s">
        <v>361</v>
      </c>
      <c r="G105" s="54" t="s">
        <v>362</v>
      </c>
      <c r="H105" s="54" t="s">
        <v>363</v>
      </c>
      <c r="I105" s="54">
        <v>1391</v>
      </c>
      <c r="J105" s="55">
        <v>44040</v>
      </c>
      <c r="K105" s="54" t="str">
        <f t="shared" si="0"/>
        <v>50₀</v>
      </c>
      <c r="L105" t="str" cm="1">
        <f t="array" ref="L105">_xlfn.IFS(E105&lt;=19,"Teenager",19&lt;=E105&lt;25,"Young",E105&gt;25,"Adult")</f>
        <v>Adult</v>
      </c>
      <c r="M105" t="str">
        <f t="shared" si="1"/>
        <v>Adult</v>
      </c>
    </row>
    <row r="106" spans="1:13" x14ac:dyDescent="0.2">
      <c r="A106" s="54">
        <v>51</v>
      </c>
      <c r="B106" s="54" t="s">
        <v>364</v>
      </c>
      <c r="C106" s="54" t="s">
        <v>365</v>
      </c>
      <c r="D106" s="54" t="s">
        <v>140</v>
      </c>
      <c r="E106" s="54">
        <v>20</v>
      </c>
      <c r="F106" s="54" t="s">
        <v>366</v>
      </c>
      <c r="G106" s="54" t="s">
        <v>367</v>
      </c>
      <c r="H106" s="54" t="s">
        <v>368</v>
      </c>
      <c r="I106" s="54">
        <v>1564</v>
      </c>
      <c r="J106" s="55">
        <v>43833</v>
      </c>
      <c r="K106" s="54">
        <f t="shared" si="0"/>
        <v>51</v>
      </c>
      <c r="L106" t="e" cm="1">
        <f t="array" ref="L106">_xlfn.IFS(E106&lt;=19,"Teenager",19&lt;=E106&lt;25,"Young",E106&gt;25,"Adult")</f>
        <v>#N/A</v>
      </c>
      <c r="M106" t="str">
        <f t="shared" si="1"/>
        <v>Red</v>
      </c>
    </row>
    <row r="107" spans="1:13" x14ac:dyDescent="0.2">
      <c r="A107" s="54">
        <v>52</v>
      </c>
      <c r="B107" s="54" t="s">
        <v>369</v>
      </c>
      <c r="C107" s="54" t="s">
        <v>344</v>
      </c>
      <c r="D107" s="54" t="s">
        <v>146</v>
      </c>
      <c r="E107" s="54">
        <v>18</v>
      </c>
      <c r="F107" s="54" t="s">
        <v>370</v>
      </c>
      <c r="G107" s="54" t="s">
        <v>371</v>
      </c>
      <c r="H107" s="54" t="s">
        <v>372</v>
      </c>
      <c r="I107" s="54">
        <v>6459</v>
      </c>
      <c r="J107" s="55">
        <v>43931</v>
      </c>
      <c r="K107" s="54">
        <f t="shared" si="0"/>
        <v>52</v>
      </c>
      <c r="L107" t="str" cm="1">
        <f t="array" ref="L107">_xlfn.IFS(E107&lt;=19,"Teenager",19&lt;=E107&lt;25,"Young",E107&gt;25,"Adult")</f>
        <v>Teenager</v>
      </c>
      <c r="M107" t="str">
        <f t="shared" si="1"/>
        <v>Teenager</v>
      </c>
    </row>
    <row r="108" spans="1:13" x14ac:dyDescent="0.2">
      <c r="A108" s="54">
        <v>53</v>
      </c>
      <c r="B108" s="54" t="s">
        <v>160</v>
      </c>
      <c r="C108" s="54" t="s">
        <v>156</v>
      </c>
      <c r="D108" s="54" t="s">
        <v>146</v>
      </c>
      <c r="E108" s="54">
        <v>28</v>
      </c>
      <c r="F108" s="54" t="s">
        <v>373</v>
      </c>
      <c r="G108" s="54" t="s">
        <v>374</v>
      </c>
      <c r="H108" s="54" t="s">
        <v>178</v>
      </c>
      <c r="I108" s="54">
        <v>6271</v>
      </c>
      <c r="J108" s="55">
        <v>43960</v>
      </c>
      <c r="K108" s="54">
        <f t="shared" si="0"/>
        <v>53</v>
      </c>
      <c r="L108" t="str" cm="1">
        <f t="array" ref="L108">_xlfn.IFS(E108&lt;=19,"Teenager",19&lt;=E108&lt;25,"Young",E108&gt;25,"Adult")</f>
        <v>Adult</v>
      </c>
      <c r="M108" t="str">
        <f t="shared" si="1"/>
        <v>Adult</v>
      </c>
    </row>
    <row r="109" spans="1:13" x14ac:dyDescent="0.2">
      <c r="A109" s="54">
        <v>54</v>
      </c>
      <c r="B109" s="54" t="s">
        <v>375</v>
      </c>
      <c r="C109" s="54" t="s">
        <v>376</v>
      </c>
      <c r="D109" s="54" t="s">
        <v>146</v>
      </c>
      <c r="E109" s="54">
        <v>18</v>
      </c>
      <c r="F109" s="54" t="s">
        <v>377</v>
      </c>
      <c r="G109" s="54" t="s">
        <v>378</v>
      </c>
      <c r="H109" s="54" t="s">
        <v>336</v>
      </c>
      <c r="I109" s="54">
        <v>3715</v>
      </c>
      <c r="J109" s="55">
        <v>44013</v>
      </c>
      <c r="K109" s="54">
        <f t="shared" si="0"/>
        <v>54</v>
      </c>
      <c r="L109" t="str" cm="1">
        <f t="array" ref="L109">_xlfn.IFS(E109&lt;=19,"Teenager",19&lt;=E109&lt;25,"Young",E109&gt;25,"Adult")</f>
        <v>Teenager</v>
      </c>
      <c r="M109" t="str">
        <f t="shared" si="1"/>
        <v>Teenager</v>
      </c>
    </row>
    <row r="110" spans="1:13" x14ac:dyDescent="0.2">
      <c r="A110" s="54">
        <v>55</v>
      </c>
      <c r="B110" s="54" t="s">
        <v>379</v>
      </c>
      <c r="C110" s="54" t="s">
        <v>205</v>
      </c>
      <c r="D110" s="54" t="s">
        <v>140</v>
      </c>
      <c r="E110" s="54">
        <v>25</v>
      </c>
      <c r="F110" s="54" t="s">
        <v>380</v>
      </c>
      <c r="G110" s="54" t="s">
        <v>381</v>
      </c>
      <c r="H110" s="54" t="s">
        <v>382</v>
      </c>
      <c r="I110" s="54">
        <v>4262</v>
      </c>
      <c r="J110" s="55">
        <v>44110</v>
      </c>
      <c r="K110" s="54">
        <f t="shared" si="0"/>
        <v>55</v>
      </c>
      <c r="L110" t="e" cm="1">
        <f t="array" ref="L110">_xlfn.IFS(E110&lt;=19,"Teenager",19&lt;=E110&lt;25,"Young",E110&gt;25,"Adult")</f>
        <v>#N/A</v>
      </c>
      <c r="M110" t="str">
        <f t="shared" si="1"/>
        <v>Red</v>
      </c>
    </row>
    <row r="111" spans="1:13" x14ac:dyDescent="0.2">
      <c r="A111" s="54">
        <v>56</v>
      </c>
      <c r="B111" s="54" t="s">
        <v>383</v>
      </c>
      <c r="C111" s="54" t="s">
        <v>376</v>
      </c>
      <c r="D111" s="54" t="s">
        <v>140</v>
      </c>
      <c r="E111" s="54">
        <v>26</v>
      </c>
      <c r="F111" s="54" t="s">
        <v>377</v>
      </c>
      <c r="G111" s="54" t="s">
        <v>384</v>
      </c>
      <c r="H111" s="54" t="s">
        <v>293</v>
      </c>
      <c r="I111" s="54">
        <v>734</v>
      </c>
      <c r="J111" s="55">
        <v>43888</v>
      </c>
      <c r="K111" s="54">
        <f t="shared" si="0"/>
        <v>56</v>
      </c>
      <c r="L111" t="str" cm="1">
        <f t="array" ref="L111">_xlfn.IFS(E111&lt;=19,"Teenager",19&lt;=E111&lt;25,"Young",E111&gt;25,"Adult")</f>
        <v>Adult</v>
      </c>
      <c r="M111" t="str">
        <f t="shared" si="1"/>
        <v>Adult</v>
      </c>
    </row>
    <row r="112" spans="1:13" x14ac:dyDescent="0.2">
      <c r="A112" s="54">
        <v>57</v>
      </c>
      <c r="B112" s="54" t="s">
        <v>385</v>
      </c>
      <c r="C112" s="54" t="s">
        <v>200</v>
      </c>
      <c r="D112" s="54" t="s">
        <v>140</v>
      </c>
      <c r="E112" s="54">
        <v>22</v>
      </c>
      <c r="F112" s="54" t="s">
        <v>386</v>
      </c>
      <c r="G112" s="54" t="s">
        <v>387</v>
      </c>
      <c r="H112" s="54" t="s">
        <v>388</v>
      </c>
      <c r="I112" s="54">
        <v>4439</v>
      </c>
      <c r="J112" s="55">
        <v>43897</v>
      </c>
      <c r="K112" s="54">
        <f t="shared" si="0"/>
        <v>57</v>
      </c>
      <c r="L112" t="e" cm="1">
        <f t="array" ref="L112">_xlfn.IFS(E112&lt;=19,"Teenager",19&lt;=E112&lt;25,"Young",E112&gt;25,"Adult")</f>
        <v>#N/A</v>
      </c>
      <c r="M112" t="str">
        <f t="shared" si="1"/>
        <v>Red</v>
      </c>
    </row>
    <row r="113" spans="1:13" x14ac:dyDescent="0.2">
      <c r="A113" s="54">
        <v>58</v>
      </c>
      <c r="B113" s="54" t="s">
        <v>389</v>
      </c>
      <c r="C113" s="54" t="s">
        <v>390</v>
      </c>
      <c r="D113" s="54" t="s">
        <v>146</v>
      </c>
      <c r="E113" s="54">
        <v>19</v>
      </c>
      <c r="F113" s="54" t="s">
        <v>391</v>
      </c>
      <c r="G113" s="54" t="s">
        <v>392</v>
      </c>
      <c r="H113" s="54" t="s">
        <v>363</v>
      </c>
      <c r="I113" s="54">
        <v>1638</v>
      </c>
      <c r="J113" s="55">
        <v>43952</v>
      </c>
      <c r="K113" s="54">
        <f t="shared" si="0"/>
        <v>58</v>
      </c>
      <c r="L113" t="str" cm="1">
        <f t="array" ref="L113">_xlfn.IFS(E113&lt;=19,"Teenager",19&lt;=E113&lt;25,"Young",E113&gt;25,"Adult")</f>
        <v>Teenager</v>
      </c>
      <c r="M113" t="str">
        <f t="shared" si="1"/>
        <v>Teenager</v>
      </c>
    </row>
    <row r="114" spans="1:13" x14ac:dyDescent="0.2">
      <c r="A114" s="54">
        <v>59</v>
      </c>
      <c r="B114" s="54" t="s">
        <v>393</v>
      </c>
      <c r="C114" s="54" t="s">
        <v>394</v>
      </c>
      <c r="D114" s="54" t="s">
        <v>146</v>
      </c>
      <c r="E114" s="54">
        <v>22</v>
      </c>
      <c r="F114" s="54" t="s">
        <v>395</v>
      </c>
      <c r="G114" s="54" t="s">
        <v>396</v>
      </c>
      <c r="H114" s="54" t="s">
        <v>246</v>
      </c>
      <c r="I114" s="54">
        <v>6066</v>
      </c>
      <c r="J114" s="55">
        <v>43990</v>
      </c>
      <c r="K114" s="54">
        <f t="shared" si="0"/>
        <v>59</v>
      </c>
      <c r="L114" t="e" cm="1">
        <f t="array" ref="L114">_xlfn.IFS(E114&lt;=19,"Teenager",19&lt;=E114&lt;25,"Young",E114&gt;25,"Adult")</f>
        <v>#N/A</v>
      </c>
      <c r="M114" t="str">
        <f t="shared" si="1"/>
        <v>Red</v>
      </c>
    </row>
    <row r="115" spans="1:13" x14ac:dyDescent="0.2">
      <c r="A115" s="54">
        <v>60</v>
      </c>
      <c r="B115" s="54" t="s">
        <v>397</v>
      </c>
      <c r="C115" s="54" t="s">
        <v>308</v>
      </c>
      <c r="D115" s="54" t="s">
        <v>146</v>
      </c>
      <c r="E115" s="54">
        <v>20</v>
      </c>
      <c r="F115" s="54" t="s">
        <v>398</v>
      </c>
      <c r="G115" s="54" t="s">
        <v>399</v>
      </c>
      <c r="H115" s="54" t="s">
        <v>169</v>
      </c>
      <c r="I115" s="54">
        <v>7132</v>
      </c>
      <c r="J115" s="55">
        <v>43850</v>
      </c>
      <c r="K115" s="54" t="str">
        <f t="shared" si="0"/>
        <v>60₀</v>
      </c>
      <c r="L115" t="e" cm="1">
        <f t="array" ref="L115">_xlfn.IFS(E115&lt;=19,"Teenager",19&lt;=E115&lt;25,"Young",E115&gt;25,"Adult")</f>
        <v>#N/A</v>
      </c>
      <c r="M115" t="str">
        <f t="shared" si="1"/>
        <v>Red</v>
      </c>
    </row>
    <row r="116" spans="1:13" x14ac:dyDescent="0.2">
      <c r="A116" s="54">
        <v>61</v>
      </c>
      <c r="B116" s="54" t="s">
        <v>400</v>
      </c>
      <c r="C116" s="54" t="s">
        <v>401</v>
      </c>
      <c r="D116" s="54" t="s">
        <v>146</v>
      </c>
      <c r="E116" s="54">
        <v>19</v>
      </c>
      <c r="F116" s="54" t="s">
        <v>402</v>
      </c>
      <c r="G116" s="54" t="s">
        <v>403</v>
      </c>
      <c r="H116" s="54" t="s">
        <v>280</v>
      </c>
      <c r="I116" s="54">
        <v>8090</v>
      </c>
      <c r="J116" s="55">
        <v>44097</v>
      </c>
      <c r="K116" s="54">
        <f t="shared" si="0"/>
        <v>61</v>
      </c>
      <c r="L116" t="str" cm="1">
        <f t="array" ref="L116">_xlfn.IFS(E116&lt;=19,"Teenager",19&lt;=E116&lt;25,"Young",E116&gt;25,"Adult")</f>
        <v>Teenager</v>
      </c>
      <c r="M116" t="str">
        <f t="shared" si="1"/>
        <v>Teenager</v>
      </c>
    </row>
    <row r="117" spans="1:13" x14ac:dyDescent="0.2">
      <c r="A117" s="54">
        <v>62</v>
      </c>
      <c r="B117" s="54" t="s">
        <v>404</v>
      </c>
      <c r="C117" s="54" t="s">
        <v>405</v>
      </c>
      <c r="D117" s="54" t="s">
        <v>146</v>
      </c>
      <c r="E117" s="54">
        <v>30</v>
      </c>
      <c r="F117" s="54" t="s">
        <v>406</v>
      </c>
      <c r="G117" s="54" t="s">
        <v>407</v>
      </c>
      <c r="H117" s="54" t="s">
        <v>328</v>
      </c>
      <c r="I117" s="54">
        <v>8339</v>
      </c>
      <c r="J117" s="55">
        <v>43837</v>
      </c>
      <c r="K117" s="54">
        <f t="shared" si="0"/>
        <v>62</v>
      </c>
      <c r="L117" t="str" cm="1">
        <f t="array" ref="L117">_xlfn.IFS(E117&lt;=19,"Teenager",19&lt;=E117&lt;25,"Young",E117&gt;25,"Adult")</f>
        <v>Adult</v>
      </c>
      <c r="M117" t="str">
        <f t="shared" si="1"/>
        <v>Adult</v>
      </c>
    </row>
    <row r="118" spans="1:13" x14ac:dyDescent="0.2">
      <c r="A118" s="54">
        <v>63</v>
      </c>
      <c r="B118" s="54" t="s">
        <v>408</v>
      </c>
      <c r="C118" s="54" t="s">
        <v>409</v>
      </c>
      <c r="D118" s="54" t="s">
        <v>146</v>
      </c>
      <c r="E118" s="54">
        <v>30</v>
      </c>
      <c r="F118" s="54" t="s">
        <v>410</v>
      </c>
      <c r="G118" s="54" t="s">
        <v>411</v>
      </c>
      <c r="H118" s="54" t="s">
        <v>332</v>
      </c>
      <c r="I118" s="54">
        <v>4199</v>
      </c>
      <c r="J118" s="55">
        <v>44106</v>
      </c>
      <c r="K118" s="54">
        <f t="shared" si="0"/>
        <v>63</v>
      </c>
      <c r="L118" t="str" cm="1">
        <f t="array" ref="L118">_xlfn.IFS(E118&lt;=19,"Teenager",19&lt;=E118&lt;25,"Young",E118&gt;25,"Adult")</f>
        <v>Adult</v>
      </c>
      <c r="M118" t="str">
        <f t="shared" si="1"/>
        <v>Adult</v>
      </c>
    </row>
    <row r="119" spans="1:13" x14ac:dyDescent="0.2">
      <c r="A119" s="54">
        <v>64</v>
      </c>
      <c r="B119" s="54" t="s">
        <v>412</v>
      </c>
      <c r="C119" s="54" t="s">
        <v>231</v>
      </c>
      <c r="D119" s="54" t="s">
        <v>146</v>
      </c>
      <c r="E119" s="54">
        <v>21</v>
      </c>
      <c r="F119" s="54" t="s">
        <v>413</v>
      </c>
      <c r="G119" s="54" t="s">
        <v>414</v>
      </c>
      <c r="H119" s="54" t="s">
        <v>388</v>
      </c>
      <c r="I119" s="54">
        <v>9890</v>
      </c>
      <c r="J119" s="55">
        <v>44044</v>
      </c>
      <c r="K119" s="54">
        <f t="shared" si="0"/>
        <v>64</v>
      </c>
      <c r="L119" t="e" cm="1">
        <f t="array" ref="L119">_xlfn.IFS(E119&lt;=19,"Teenager",19&lt;=E119&lt;25,"Young",E119&gt;25,"Adult")</f>
        <v>#N/A</v>
      </c>
      <c r="M119" t="str">
        <f t="shared" si="1"/>
        <v>Red</v>
      </c>
    </row>
    <row r="120" spans="1:13" x14ac:dyDescent="0.2">
      <c r="A120" s="54">
        <v>65</v>
      </c>
      <c r="B120" s="54" t="s">
        <v>415</v>
      </c>
      <c r="C120" s="54" t="s">
        <v>409</v>
      </c>
      <c r="D120" s="54" t="s">
        <v>140</v>
      </c>
      <c r="E120" s="54">
        <v>24</v>
      </c>
      <c r="F120" s="54" t="s">
        <v>416</v>
      </c>
      <c r="G120" s="54" t="s">
        <v>417</v>
      </c>
      <c r="H120" s="54" t="s">
        <v>246</v>
      </c>
      <c r="I120" s="54">
        <v>1670</v>
      </c>
      <c r="J120" s="55">
        <v>43874</v>
      </c>
      <c r="K120" s="54">
        <f t="shared" si="0"/>
        <v>65</v>
      </c>
      <c r="L120" t="e" cm="1">
        <f t="array" ref="L120">_xlfn.IFS(E120&lt;=19,"Teenager",19&lt;=E120&lt;25,"Young",E120&gt;25,"Adult")</f>
        <v>#N/A</v>
      </c>
      <c r="M120" t="str">
        <f t="shared" si="1"/>
        <v>Red</v>
      </c>
    </row>
    <row r="121" spans="1:13" x14ac:dyDescent="0.2">
      <c r="A121" s="54">
        <v>66</v>
      </c>
      <c r="B121" s="54" t="s">
        <v>418</v>
      </c>
      <c r="C121" s="54" t="s">
        <v>419</v>
      </c>
      <c r="D121" s="54" t="s">
        <v>146</v>
      </c>
      <c r="E121" s="54">
        <v>24</v>
      </c>
      <c r="F121" s="54" t="s">
        <v>420</v>
      </c>
      <c r="G121" s="54" t="s">
        <v>421</v>
      </c>
      <c r="H121" s="54" t="s">
        <v>422</v>
      </c>
      <c r="I121" s="54">
        <v>4176</v>
      </c>
      <c r="J121" s="55">
        <v>44091</v>
      </c>
      <c r="K121" s="54">
        <f t="shared" ref="K121:K151" si="2">IF(MOD(A121,10)=0, A121 &amp; _xlfn.UNICHAR(8320), A121)</f>
        <v>66</v>
      </c>
      <c r="L121" t="e" cm="1">
        <f t="array" ref="L121">_xlfn.IFS(E121&lt;=19,"Teenager",19&lt;=E121&lt;25,"Young",E121&gt;25,"Adult")</f>
        <v>#N/A</v>
      </c>
      <c r="M121" t="str">
        <f t="shared" ref="M121:M151" si="3">IFERROR(L121,"Red")</f>
        <v>Red</v>
      </c>
    </row>
    <row r="122" spans="1:13" x14ac:dyDescent="0.2">
      <c r="A122" s="54">
        <v>67</v>
      </c>
      <c r="B122" s="54" t="s">
        <v>423</v>
      </c>
      <c r="C122" s="54" t="s">
        <v>344</v>
      </c>
      <c r="D122" s="54" t="s">
        <v>140</v>
      </c>
      <c r="E122" s="54">
        <v>24</v>
      </c>
      <c r="F122" s="54" t="s">
        <v>424</v>
      </c>
      <c r="G122" s="54" t="s">
        <v>425</v>
      </c>
      <c r="H122" s="54" t="s">
        <v>263</v>
      </c>
      <c r="I122" s="54">
        <v>581</v>
      </c>
      <c r="J122" s="55">
        <v>43851</v>
      </c>
      <c r="K122" s="54">
        <f t="shared" si="2"/>
        <v>67</v>
      </c>
      <c r="L122" t="e" cm="1">
        <f t="array" ref="L122">_xlfn.IFS(E122&lt;=19,"Teenager",19&lt;=E122&lt;25,"Young",E122&gt;25,"Adult")</f>
        <v>#N/A</v>
      </c>
      <c r="M122" t="str">
        <f t="shared" si="3"/>
        <v>Red</v>
      </c>
    </row>
    <row r="123" spans="1:13" x14ac:dyDescent="0.2">
      <c r="A123" s="54">
        <v>68</v>
      </c>
      <c r="B123" s="54" t="s">
        <v>426</v>
      </c>
      <c r="C123" s="54" t="s">
        <v>401</v>
      </c>
      <c r="D123" s="54" t="s">
        <v>140</v>
      </c>
      <c r="E123" s="54">
        <v>22</v>
      </c>
      <c r="F123" s="54" t="s">
        <v>427</v>
      </c>
      <c r="G123" s="54" t="s">
        <v>428</v>
      </c>
      <c r="H123" s="54" t="s">
        <v>143</v>
      </c>
      <c r="I123" s="54">
        <v>3073</v>
      </c>
      <c r="J123" s="55">
        <v>43965</v>
      </c>
      <c r="K123" s="54">
        <f t="shared" si="2"/>
        <v>68</v>
      </c>
      <c r="L123" t="e" cm="1">
        <f t="array" ref="L123">_xlfn.IFS(E123&lt;=19,"Teenager",19&lt;=E123&lt;25,"Young",E123&gt;25,"Adult")</f>
        <v>#N/A</v>
      </c>
      <c r="M123" t="str">
        <f t="shared" si="3"/>
        <v>Red</v>
      </c>
    </row>
    <row r="124" spans="1:13" x14ac:dyDescent="0.2">
      <c r="A124" s="54">
        <v>69</v>
      </c>
      <c r="B124" s="54" t="s">
        <v>429</v>
      </c>
      <c r="C124" s="54" t="s">
        <v>235</v>
      </c>
      <c r="D124" s="54" t="s">
        <v>146</v>
      </c>
      <c r="E124" s="54">
        <v>26</v>
      </c>
      <c r="F124" s="54" t="s">
        <v>430</v>
      </c>
      <c r="G124" s="54" t="s">
        <v>431</v>
      </c>
      <c r="H124" s="54" t="s">
        <v>336</v>
      </c>
      <c r="I124" s="54">
        <v>4537</v>
      </c>
      <c r="J124" s="55">
        <v>44004</v>
      </c>
      <c r="K124" s="54">
        <f t="shared" si="2"/>
        <v>69</v>
      </c>
      <c r="L124" t="str" cm="1">
        <f t="array" ref="L124">_xlfn.IFS(E124&lt;=19,"Teenager",19&lt;=E124&lt;25,"Young",E124&gt;25,"Adult")</f>
        <v>Adult</v>
      </c>
      <c r="M124" t="str">
        <f t="shared" si="3"/>
        <v>Adult</v>
      </c>
    </row>
    <row r="125" spans="1:13" x14ac:dyDescent="0.2">
      <c r="A125" s="54">
        <v>70</v>
      </c>
      <c r="B125" s="54" t="s">
        <v>316</v>
      </c>
      <c r="C125" s="54" t="s">
        <v>360</v>
      </c>
      <c r="D125" s="54" t="s">
        <v>140</v>
      </c>
      <c r="E125" s="54">
        <v>30</v>
      </c>
      <c r="F125" s="54" t="s">
        <v>432</v>
      </c>
      <c r="G125" s="54" t="s">
        <v>433</v>
      </c>
      <c r="H125" s="54" t="s">
        <v>353</v>
      </c>
      <c r="I125" s="54">
        <v>7489</v>
      </c>
      <c r="J125" s="55">
        <v>43877</v>
      </c>
      <c r="K125" s="54" t="str">
        <f t="shared" si="2"/>
        <v>70₀</v>
      </c>
      <c r="L125" t="str" cm="1">
        <f t="array" ref="L125">_xlfn.IFS(E125&lt;=19,"Teenager",19&lt;=E125&lt;25,"Young",E125&gt;25,"Adult")</f>
        <v>Adult</v>
      </c>
      <c r="M125" t="str">
        <f t="shared" si="3"/>
        <v>Adult</v>
      </c>
    </row>
    <row r="126" spans="1:13" x14ac:dyDescent="0.2">
      <c r="A126" s="54">
        <v>71</v>
      </c>
      <c r="B126" s="54" t="s">
        <v>434</v>
      </c>
      <c r="C126" s="54" t="s">
        <v>265</v>
      </c>
      <c r="D126" s="54" t="s">
        <v>140</v>
      </c>
      <c r="E126" s="54">
        <v>20</v>
      </c>
      <c r="F126" s="54" t="s">
        <v>435</v>
      </c>
      <c r="G126" s="54" t="s">
        <v>436</v>
      </c>
      <c r="H126" s="54" t="s">
        <v>154</v>
      </c>
      <c r="I126" s="54">
        <v>1134</v>
      </c>
      <c r="J126" s="55">
        <v>43844</v>
      </c>
      <c r="K126" s="54">
        <f t="shared" si="2"/>
        <v>71</v>
      </c>
      <c r="L126" t="e" cm="1">
        <f t="array" ref="L126">_xlfn.IFS(E126&lt;=19,"Teenager",19&lt;=E126&lt;25,"Young",E126&gt;25,"Adult")</f>
        <v>#N/A</v>
      </c>
      <c r="M126" t="str">
        <f t="shared" si="3"/>
        <v>Red</v>
      </c>
    </row>
    <row r="127" spans="1:13" x14ac:dyDescent="0.2">
      <c r="A127" s="54">
        <v>72</v>
      </c>
      <c r="B127" s="54" t="s">
        <v>437</v>
      </c>
      <c r="C127" s="54" t="s">
        <v>290</v>
      </c>
      <c r="D127" s="54" t="s">
        <v>140</v>
      </c>
      <c r="E127" s="54">
        <v>30</v>
      </c>
      <c r="F127" s="54" t="s">
        <v>438</v>
      </c>
      <c r="G127" s="54" t="s">
        <v>439</v>
      </c>
      <c r="H127" s="54" t="s">
        <v>328</v>
      </c>
      <c r="I127" s="54">
        <v>3453</v>
      </c>
      <c r="J127" s="55">
        <v>44139</v>
      </c>
      <c r="K127" s="54">
        <f t="shared" si="2"/>
        <v>72</v>
      </c>
      <c r="L127" t="str" cm="1">
        <f t="array" ref="L127">_xlfn.IFS(E127&lt;=19,"Teenager",19&lt;=E127&lt;25,"Young",E127&gt;25,"Adult")</f>
        <v>Adult</v>
      </c>
      <c r="M127" t="str">
        <f t="shared" si="3"/>
        <v>Adult</v>
      </c>
    </row>
    <row r="128" spans="1:13" x14ac:dyDescent="0.2">
      <c r="A128" s="54">
        <v>73</v>
      </c>
      <c r="B128" s="54" t="s">
        <v>440</v>
      </c>
      <c r="C128" s="54" t="s">
        <v>441</v>
      </c>
      <c r="D128" s="54" t="s">
        <v>146</v>
      </c>
      <c r="E128" s="54">
        <v>19</v>
      </c>
      <c r="F128" s="54" t="s">
        <v>442</v>
      </c>
      <c r="G128" s="54" t="s">
        <v>443</v>
      </c>
      <c r="H128" s="54" t="s">
        <v>336</v>
      </c>
      <c r="I128" s="54">
        <v>8387</v>
      </c>
      <c r="J128" s="55">
        <v>44096</v>
      </c>
      <c r="K128" s="54">
        <f t="shared" si="2"/>
        <v>73</v>
      </c>
      <c r="L128" t="str" cm="1">
        <f t="array" ref="L128">_xlfn.IFS(E128&lt;=19,"Teenager",19&lt;=E128&lt;25,"Young",E128&gt;25,"Adult")</f>
        <v>Teenager</v>
      </c>
      <c r="M128" t="str">
        <f t="shared" si="3"/>
        <v>Teenager</v>
      </c>
    </row>
    <row r="129" spans="1:13" x14ac:dyDescent="0.2">
      <c r="A129" s="54">
        <v>74</v>
      </c>
      <c r="B129" s="54" t="s">
        <v>341</v>
      </c>
      <c r="C129" s="54" t="s">
        <v>243</v>
      </c>
      <c r="D129" s="54" t="s">
        <v>146</v>
      </c>
      <c r="E129" s="54">
        <v>27</v>
      </c>
      <c r="F129" s="54" t="s">
        <v>444</v>
      </c>
      <c r="G129" s="54" t="s">
        <v>445</v>
      </c>
      <c r="H129" s="54" t="s">
        <v>363</v>
      </c>
      <c r="I129" s="54">
        <v>6946</v>
      </c>
      <c r="J129" s="55">
        <v>43987</v>
      </c>
      <c r="K129" s="54">
        <f t="shared" si="2"/>
        <v>74</v>
      </c>
      <c r="L129" t="str" cm="1">
        <f t="array" ref="L129">_xlfn.IFS(E129&lt;=19,"Teenager",19&lt;=E129&lt;25,"Young",E129&gt;25,"Adult")</f>
        <v>Adult</v>
      </c>
      <c r="M129" t="str">
        <f t="shared" si="3"/>
        <v>Adult</v>
      </c>
    </row>
    <row r="130" spans="1:13" x14ac:dyDescent="0.2">
      <c r="A130" s="54">
        <v>75</v>
      </c>
      <c r="B130" s="54" t="s">
        <v>329</v>
      </c>
      <c r="C130" s="54" t="s">
        <v>446</v>
      </c>
      <c r="D130" s="54" t="s">
        <v>146</v>
      </c>
      <c r="E130" s="54">
        <v>30</v>
      </c>
      <c r="F130" s="54" t="s">
        <v>447</v>
      </c>
      <c r="G130" s="54" t="s">
        <v>448</v>
      </c>
      <c r="H130" s="54" t="s">
        <v>328</v>
      </c>
      <c r="I130" s="54">
        <v>3177</v>
      </c>
      <c r="J130" s="55">
        <v>44001</v>
      </c>
      <c r="K130" s="54">
        <f t="shared" si="2"/>
        <v>75</v>
      </c>
      <c r="L130" t="str" cm="1">
        <f t="array" ref="L130">_xlfn.IFS(E130&lt;=19,"Teenager",19&lt;=E130&lt;25,"Young",E130&gt;25,"Adult")</f>
        <v>Adult</v>
      </c>
      <c r="M130" t="str">
        <f t="shared" si="3"/>
        <v>Adult</v>
      </c>
    </row>
    <row r="131" spans="1:13" x14ac:dyDescent="0.2">
      <c r="A131" s="54">
        <v>76</v>
      </c>
      <c r="B131" s="54" t="s">
        <v>259</v>
      </c>
      <c r="C131" s="54" t="s">
        <v>449</v>
      </c>
      <c r="D131" s="54" t="s">
        <v>140</v>
      </c>
      <c r="E131" s="54">
        <v>21</v>
      </c>
      <c r="F131" s="54" t="s">
        <v>450</v>
      </c>
      <c r="G131" s="54" t="s">
        <v>451</v>
      </c>
      <c r="H131" s="54" t="s">
        <v>452</v>
      </c>
      <c r="I131" s="54">
        <v>5224</v>
      </c>
      <c r="J131" s="55">
        <v>44125</v>
      </c>
      <c r="K131" s="54">
        <f t="shared" si="2"/>
        <v>76</v>
      </c>
      <c r="L131" t="e" cm="1">
        <f t="array" ref="L131">_xlfn.IFS(E131&lt;=19,"Teenager",19&lt;=E131&lt;25,"Young",E131&gt;25,"Adult")</f>
        <v>#N/A</v>
      </c>
      <c r="M131" t="str">
        <f t="shared" si="3"/>
        <v>Red</v>
      </c>
    </row>
    <row r="132" spans="1:13" x14ac:dyDescent="0.2">
      <c r="A132" s="54">
        <v>77</v>
      </c>
      <c r="B132" s="54" t="s">
        <v>252</v>
      </c>
      <c r="C132" s="54" t="s">
        <v>205</v>
      </c>
      <c r="D132" s="54" t="s">
        <v>146</v>
      </c>
      <c r="E132" s="54">
        <v>26</v>
      </c>
      <c r="F132" s="54" t="s">
        <v>453</v>
      </c>
      <c r="G132" s="54" t="s">
        <v>454</v>
      </c>
      <c r="H132" s="54" t="s">
        <v>353</v>
      </c>
      <c r="I132" s="54">
        <v>4510</v>
      </c>
      <c r="J132" s="55">
        <v>43851</v>
      </c>
      <c r="K132" s="54">
        <f t="shared" si="2"/>
        <v>77</v>
      </c>
      <c r="L132" t="str" cm="1">
        <f t="array" ref="L132">_xlfn.IFS(E132&lt;=19,"Teenager",19&lt;=E132&lt;25,"Young",E132&gt;25,"Adult")</f>
        <v>Adult</v>
      </c>
      <c r="M132" t="str">
        <f t="shared" si="3"/>
        <v>Adult</v>
      </c>
    </row>
    <row r="133" spans="1:13" x14ac:dyDescent="0.2">
      <c r="A133" s="54">
        <v>78</v>
      </c>
      <c r="B133" s="54" t="s">
        <v>455</v>
      </c>
      <c r="C133" s="54" t="s">
        <v>234</v>
      </c>
      <c r="D133" s="54" t="s">
        <v>140</v>
      </c>
      <c r="E133" s="54">
        <v>30</v>
      </c>
      <c r="F133" s="54" t="s">
        <v>456</v>
      </c>
      <c r="G133" s="54" t="s">
        <v>457</v>
      </c>
      <c r="H133" s="54" t="s">
        <v>293</v>
      </c>
      <c r="I133" s="54">
        <v>2906</v>
      </c>
      <c r="J133" s="55">
        <v>43915</v>
      </c>
      <c r="K133" s="54">
        <f t="shared" si="2"/>
        <v>78</v>
      </c>
      <c r="L133" t="str" cm="1">
        <f t="array" ref="L133">_xlfn.IFS(E133&lt;=19,"Teenager",19&lt;=E133&lt;25,"Young",E133&gt;25,"Adult")</f>
        <v>Adult</v>
      </c>
      <c r="M133" t="str">
        <f t="shared" si="3"/>
        <v>Adult</v>
      </c>
    </row>
    <row r="134" spans="1:13" x14ac:dyDescent="0.2">
      <c r="A134" s="54">
        <v>79</v>
      </c>
      <c r="B134" s="54" t="s">
        <v>321</v>
      </c>
      <c r="C134" s="54" t="s">
        <v>458</v>
      </c>
      <c r="D134" s="54" t="s">
        <v>140</v>
      </c>
      <c r="E134" s="54">
        <v>24</v>
      </c>
      <c r="F134" s="54" t="s">
        <v>459</v>
      </c>
      <c r="G134" s="54" t="s">
        <v>460</v>
      </c>
      <c r="H134" s="54" t="s">
        <v>213</v>
      </c>
      <c r="I134" s="54">
        <v>6241</v>
      </c>
      <c r="J134" s="55">
        <v>43895</v>
      </c>
      <c r="K134" s="54">
        <f t="shared" si="2"/>
        <v>79</v>
      </c>
      <c r="L134" t="e" cm="1">
        <f t="array" ref="L134">_xlfn.IFS(E134&lt;=19,"Teenager",19&lt;=E134&lt;25,"Young",E134&gt;25,"Adult")</f>
        <v>#N/A</v>
      </c>
      <c r="M134" t="str">
        <f t="shared" si="3"/>
        <v>Red</v>
      </c>
    </row>
    <row r="135" spans="1:13" x14ac:dyDescent="0.2">
      <c r="A135" s="54">
        <v>80</v>
      </c>
      <c r="B135" s="54" t="s">
        <v>209</v>
      </c>
      <c r="C135" s="54" t="s">
        <v>156</v>
      </c>
      <c r="D135" s="54" t="s">
        <v>140</v>
      </c>
      <c r="E135" s="54">
        <v>26</v>
      </c>
      <c r="F135" s="54" t="s">
        <v>461</v>
      </c>
      <c r="G135" s="54" t="s">
        <v>462</v>
      </c>
      <c r="H135" s="54" t="s">
        <v>372</v>
      </c>
      <c r="I135" s="54">
        <v>3355</v>
      </c>
      <c r="J135" s="55">
        <v>43922</v>
      </c>
      <c r="K135" s="54" t="str">
        <f t="shared" si="2"/>
        <v>80₀</v>
      </c>
      <c r="L135" t="str" cm="1">
        <f t="array" ref="L135">_xlfn.IFS(E135&lt;=19,"Teenager",19&lt;=E135&lt;25,"Young",E135&gt;25,"Adult")</f>
        <v>Adult</v>
      </c>
      <c r="M135" t="str">
        <f t="shared" si="3"/>
        <v>Adult</v>
      </c>
    </row>
    <row r="136" spans="1:13" x14ac:dyDescent="0.2">
      <c r="A136" s="54">
        <v>81</v>
      </c>
      <c r="B136" s="54" t="s">
        <v>463</v>
      </c>
      <c r="C136" s="54" t="s">
        <v>156</v>
      </c>
      <c r="D136" s="54" t="s">
        <v>140</v>
      </c>
      <c r="E136" s="54">
        <v>23</v>
      </c>
      <c r="F136" s="54" t="s">
        <v>464</v>
      </c>
      <c r="G136" s="54" t="s">
        <v>465</v>
      </c>
      <c r="H136" s="54" t="s">
        <v>280</v>
      </c>
      <c r="I136" s="54">
        <v>8351</v>
      </c>
      <c r="J136" s="55">
        <v>43997</v>
      </c>
      <c r="K136" s="54">
        <f t="shared" si="2"/>
        <v>81</v>
      </c>
      <c r="L136" t="e" cm="1">
        <f t="array" ref="L136">_xlfn.IFS(E136&lt;=19,"Teenager",19&lt;=E136&lt;25,"Young",E136&gt;25,"Adult")</f>
        <v>#N/A</v>
      </c>
      <c r="M136" t="str">
        <f t="shared" si="3"/>
        <v>Red</v>
      </c>
    </row>
    <row r="137" spans="1:13" x14ac:dyDescent="0.2">
      <c r="A137" s="54">
        <v>82</v>
      </c>
      <c r="B137" s="54" t="s">
        <v>223</v>
      </c>
      <c r="C137" s="54" t="s">
        <v>466</v>
      </c>
      <c r="D137" s="54" t="s">
        <v>140</v>
      </c>
      <c r="E137" s="54">
        <v>20</v>
      </c>
      <c r="F137" s="54" t="s">
        <v>467</v>
      </c>
      <c r="G137" s="54" t="s">
        <v>468</v>
      </c>
      <c r="H137" s="54" t="s">
        <v>198</v>
      </c>
      <c r="I137" s="54">
        <v>6077</v>
      </c>
      <c r="J137" s="55">
        <v>43855</v>
      </c>
      <c r="K137" s="54">
        <f t="shared" si="2"/>
        <v>82</v>
      </c>
      <c r="L137" t="e" cm="1">
        <f t="array" ref="L137">_xlfn.IFS(E137&lt;=19,"Teenager",19&lt;=E137&lt;25,"Young",E137&gt;25,"Adult")</f>
        <v>#N/A</v>
      </c>
      <c r="M137" t="str">
        <f t="shared" si="3"/>
        <v>Red</v>
      </c>
    </row>
    <row r="138" spans="1:13" x14ac:dyDescent="0.2">
      <c r="A138" s="54">
        <v>83</v>
      </c>
      <c r="B138" s="54" t="s">
        <v>469</v>
      </c>
      <c r="C138" s="54" t="s">
        <v>441</v>
      </c>
      <c r="D138" s="54" t="s">
        <v>140</v>
      </c>
      <c r="E138" s="54">
        <v>29</v>
      </c>
      <c r="F138" s="54" t="s">
        <v>442</v>
      </c>
      <c r="G138" s="54" t="s">
        <v>470</v>
      </c>
      <c r="H138" s="54" t="s">
        <v>218</v>
      </c>
      <c r="I138" s="54">
        <v>6971</v>
      </c>
      <c r="J138" s="55">
        <v>43908</v>
      </c>
      <c r="K138" s="54">
        <f t="shared" si="2"/>
        <v>83</v>
      </c>
      <c r="L138" t="str" cm="1">
        <f t="array" ref="L138">_xlfn.IFS(E138&lt;=19,"Teenager",19&lt;=E138&lt;25,"Young",E138&gt;25,"Adult")</f>
        <v>Adult</v>
      </c>
      <c r="M138" t="str">
        <f t="shared" si="3"/>
        <v>Adult</v>
      </c>
    </row>
    <row r="139" spans="1:13" x14ac:dyDescent="0.2">
      <c r="A139" s="54">
        <v>84</v>
      </c>
      <c r="B139" s="54" t="s">
        <v>423</v>
      </c>
      <c r="C139" s="54" t="s">
        <v>471</v>
      </c>
      <c r="D139" s="54" t="s">
        <v>140</v>
      </c>
      <c r="E139" s="54">
        <v>19</v>
      </c>
      <c r="F139" s="54" t="s">
        <v>472</v>
      </c>
      <c r="G139" s="54" t="s">
        <v>473</v>
      </c>
      <c r="H139" s="54" t="s">
        <v>293</v>
      </c>
      <c r="I139" s="54">
        <v>2574</v>
      </c>
      <c r="J139" s="55">
        <v>43889</v>
      </c>
      <c r="K139" s="54">
        <f t="shared" si="2"/>
        <v>84</v>
      </c>
      <c r="L139" t="str" cm="1">
        <f t="array" ref="L139">_xlfn.IFS(E139&lt;=19,"Teenager",19&lt;=E139&lt;25,"Young",E139&gt;25,"Adult")</f>
        <v>Teenager</v>
      </c>
      <c r="M139" t="str">
        <f t="shared" si="3"/>
        <v>Teenager</v>
      </c>
    </row>
    <row r="140" spans="1:13" x14ac:dyDescent="0.2">
      <c r="A140" s="54">
        <v>85</v>
      </c>
      <c r="B140" s="54" t="s">
        <v>155</v>
      </c>
      <c r="C140" s="54" t="s">
        <v>195</v>
      </c>
      <c r="D140" s="54" t="s">
        <v>140</v>
      </c>
      <c r="E140" s="54">
        <v>24</v>
      </c>
      <c r="F140" s="54" t="s">
        <v>474</v>
      </c>
      <c r="G140" s="54" t="s">
        <v>475</v>
      </c>
      <c r="H140" s="54" t="s">
        <v>315</v>
      </c>
      <c r="I140" s="54">
        <v>4314</v>
      </c>
      <c r="J140" s="55">
        <v>44015</v>
      </c>
      <c r="K140" s="54">
        <f t="shared" si="2"/>
        <v>85</v>
      </c>
      <c r="L140" t="e" cm="1">
        <f t="array" ref="L140">_xlfn.IFS(E140&lt;=19,"Teenager",19&lt;=E140&lt;25,"Young",E140&gt;25,"Adult")</f>
        <v>#N/A</v>
      </c>
      <c r="M140" t="str">
        <f t="shared" si="3"/>
        <v>Red</v>
      </c>
    </row>
    <row r="141" spans="1:13" x14ac:dyDescent="0.2">
      <c r="A141" s="54">
        <v>86</v>
      </c>
      <c r="B141" s="54" t="s">
        <v>138</v>
      </c>
      <c r="C141" s="54" t="s">
        <v>312</v>
      </c>
      <c r="D141" s="54" t="s">
        <v>140</v>
      </c>
      <c r="E141" s="54">
        <v>29</v>
      </c>
      <c r="F141" s="54" t="s">
        <v>476</v>
      </c>
      <c r="G141" s="54" t="s">
        <v>477</v>
      </c>
      <c r="H141" s="54" t="s">
        <v>280</v>
      </c>
      <c r="I141" s="54">
        <v>5675</v>
      </c>
      <c r="J141" s="55">
        <v>43860</v>
      </c>
      <c r="K141" s="54">
        <f t="shared" si="2"/>
        <v>86</v>
      </c>
      <c r="L141" t="str" cm="1">
        <f t="array" ref="L141">_xlfn.IFS(E141&lt;=19,"Teenager",19&lt;=E141&lt;25,"Young",E141&gt;25,"Adult")</f>
        <v>Adult</v>
      </c>
      <c r="M141" t="str">
        <f t="shared" si="3"/>
        <v>Adult</v>
      </c>
    </row>
    <row r="142" spans="1:13" x14ac:dyDescent="0.2">
      <c r="A142" s="54">
        <v>87</v>
      </c>
      <c r="B142" s="54" t="s">
        <v>303</v>
      </c>
      <c r="C142" s="54" t="s">
        <v>139</v>
      </c>
      <c r="D142" s="54" t="s">
        <v>140</v>
      </c>
      <c r="E142" s="54">
        <v>30</v>
      </c>
      <c r="F142" s="54" t="s">
        <v>141</v>
      </c>
      <c r="G142" s="54" t="s">
        <v>478</v>
      </c>
      <c r="H142" s="54" t="s">
        <v>188</v>
      </c>
      <c r="I142" s="54">
        <v>4182</v>
      </c>
      <c r="J142" s="55">
        <v>43853</v>
      </c>
      <c r="K142" s="54">
        <f t="shared" si="2"/>
        <v>87</v>
      </c>
      <c r="L142" t="str" cm="1">
        <f t="array" ref="L142">_xlfn.IFS(E142&lt;=19,"Teenager",19&lt;=E142&lt;25,"Young",E142&gt;25,"Adult")</f>
        <v>Adult</v>
      </c>
      <c r="M142" t="str">
        <f t="shared" si="3"/>
        <v>Adult</v>
      </c>
    </row>
    <row r="143" spans="1:13" x14ac:dyDescent="0.2">
      <c r="A143" s="54">
        <v>88</v>
      </c>
      <c r="B143" s="54" t="s">
        <v>247</v>
      </c>
      <c r="C143" s="54" t="s">
        <v>479</v>
      </c>
      <c r="D143" s="54" t="s">
        <v>140</v>
      </c>
      <c r="E143" s="54">
        <v>19</v>
      </c>
      <c r="F143" s="54" t="s">
        <v>480</v>
      </c>
      <c r="G143" s="54" t="s">
        <v>481</v>
      </c>
      <c r="H143" s="54" t="s">
        <v>246</v>
      </c>
      <c r="I143" s="54">
        <v>7339</v>
      </c>
      <c r="J143" s="55">
        <v>44064</v>
      </c>
      <c r="K143" s="54">
        <f t="shared" si="2"/>
        <v>88</v>
      </c>
      <c r="L143" t="str" cm="1">
        <f t="array" ref="L143">_xlfn.IFS(E143&lt;=19,"Teenager",19&lt;=E143&lt;25,"Young",E143&gt;25,"Adult")</f>
        <v>Teenager</v>
      </c>
      <c r="M143" t="str">
        <f t="shared" si="3"/>
        <v>Teenager</v>
      </c>
    </row>
    <row r="144" spans="1:13" x14ac:dyDescent="0.2">
      <c r="A144" s="54">
        <v>89</v>
      </c>
      <c r="B144" s="54" t="s">
        <v>482</v>
      </c>
      <c r="C144" s="54" t="s">
        <v>409</v>
      </c>
      <c r="D144" s="54" t="s">
        <v>140</v>
      </c>
      <c r="E144" s="54">
        <v>20</v>
      </c>
      <c r="F144" s="54" t="s">
        <v>483</v>
      </c>
      <c r="G144" s="54" t="s">
        <v>484</v>
      </c>
      <c r="H144" s="54" t="s">
        <v>358</v>
      </c>
      <c r="I144" s="54">
        <v>9200</v>
      </c>
      <c r="J144" s="55">
        <v>43993</v>
      </c>
      <c r="K144" s="54">
        <f t="shared" si="2"/>
        <v>89</v>
      </c>
      <c r="L144" t="e" cm="1">
        <f t="array" ref="L144">_xlfn.IFS(E144&lt;=19,"Teenager",19&lt;=E144&lt;25,"Young",E144&gt;25,"Adult")</f>
        <v>#N/A</v>
      </c>
      <c r="M144" t="str">
        <f t="shared" si="3"/>
        <v>Red</v>
      </c>
    </row>
    <row r="145" spans="1:13" x14ac:dyDescent="0.2">
      <c r="A145" s="54">
        <v>90</v>
      </c>
      <c r="B145" s="54" t="s">
        <v>383</v>
      </c>
      <c r="C145" s="54" t="s">
        <v>317</v>
      </c>
      <c r="D145" s="54" t="s">
        <v>140</v>
      </c>
      <c r="E145" s="54">
        <v>26</v>
      </c>
      <c r="F145" s="54" t="s">
        <v>485</v>
      </c>
      <c r="G145" s="54" t="s">
        <v>486</v>
      </c>
      <c r="H145" s="54" t="s">
        <v>487</v>
      </c>
      <c r="I145" s="54">
        <v>9322</v>
      </c>
      <c r="J145" s="55">
        <v>43963</v>
      </c>
      <c r="K145" s="54" t="str">
        <f t="shared" si="2"/>
        <v>90₀</v>
      </c>
      <c r="L145">
        <f>SUM(F135:F141)</f>
        <v>0</v>
      </c>
      <c r="M145">
        <f t="shared" si="3"/>
        <v>0</v>
      </c>
    </row>
    <row r="146" spans="1:13" x14ac:dyDescent="0.2">
      <c r="A146" s="54">
        <v>91</v>
      </c>
      <c r="B146" s="54" t="s">
        <v>488</v>
      </c>
      <c r="C146" s="54" t="s">
        <v>489</v>
      </c>
      <c r="D146" s="54" t="s">
        <v>140</v>
      </c>
      <c r="E146" s="54">
        <v>20</v>
      </c>
      <c r="F146" s="54" t="s">
        <v>490</v>
      </c>
      <c r="G146" s="54" t="s">
        <v>491</v>
      </c>
      <c r="H146" s="54" t="s">
        <v>238</v>
      </c>
      <c r="I146" s="54">
        <v>3648</v>
      </c>
      <c r="J146" s="55">
        <v>44166</v>
      </c>
      <c r="K146" s="54">
        <f t="shared" si="2"/>
        <v>91</v>
      </c>
      <c r="L146" t="e" cm="1">
        <f t="array" ref="L146">_xlfn.IFS(E146&lt;=19,"Teenager",1.9E+147&lt;25,"Young",E146&gt;25,"Adult")</f>
        <v>#N/A</v>
      </c>
      <c r="M146" t="str">
        <f t="shared" si="3"/>
        <v>Red</v>
      </c>
    </row>
    <row r="147" spans="1:13" x14ac:dyDescent="0.2">
      <c r="A147" s="54">
        <v>92</v>
      </c>
      <c r="B147" s="54" t="s">
        <v>155</v>
      </c>
      <c r="C147" s="54" t="s">
        <v>492</v>
      </c>
      <c r="D147" s="54" t="s">
        <v>140</v>
      </c>
      <c r="E147" s="54">
        <v>20</v>
      </c>
      <c r="F147" s="54" t="s">
        <v>493</v>
      </c>
      <c r="G147" s="54" t="s">
        <v>494</v>
      </c>
      <c r="H147" s="54" t="s">
        <v>258</v>
      </c>
      <c r="I147" s="54">
        <v>806</v>
      </c>
      <c r="J147" s="55">
        <v>44064</v>
      </c>
      <c r="K147" s="54">
        <f t="shared" si="2"/>
        <v>92</v>
      </c>
      <c r="L147" t="e" cm="1">
        <f t="array" ref="L147">_xlfn.IFS(E147&lt;=19,"Teenager",19&lt;=E147&lt;25,"Young",E147&gt;25,"Adult")</f>
        <v>#N/A</v>
      </c>
      <c r="M147" t="str">
        <f t="shared" si="3"/>
        <v>Red</v>
      </c>
    </row>
    <row r="148" spans="1:13" x14ac:dyDescent="0.2">
      <c r="A148" s="54">
        <v>93</v>
      </c>
      <c r="B148" s="54" t="s">
        <v>495</v>
      </c>
      <c r="C148" s="54" t="s">
        <v>496</v>
      </c>
      <c r="D148" s="54" t="s">
        <v>146</v>
      </c>
      <c r="E148" s="54">
        <v>30</v>
      </c>
      <c r="F148" s="54" t="s">
        <v>497</v>
      </c>
      <c r="G148" s="54" t="s">
        <v>498</v>
      </c>
      <c r="H148" s="54" t="s">
        <v>149</v>
      </c>
      <c r="I148" s="54">
        <v>1819</v>
      </c>
      <c r="J148" s="55">
        <v>44059</v>
      </c>
      <c r="K148" s="54">
        <f t="shared" si="2"/>
        <v>93</v>
      </c>
      <c r="L148" t="str" cm="1">
        <f t="array" ref="L148">_xlfn.IFS(E148&lt;=19,"Teenager",19&lt;=E148&lt;25,"Young",E148&gt;25,"Adult")</f>
        <v>Adult</v>
      </c>
      <c r="M148" t="str">
        <f t="shared" si="3"/>
        <v>Adult</v>
      </c>
    </row>
    <row r="149" spans="1:13" x14ac:dyDescent="0.2">
      <c r="A149" s="54">
        <v>94</v>
      </c>
      <c r="B149" s="54" t="s">
        <v>379</v>
      </c>
      <c r="C149" s="54" t="s">
        <v>248</v>
      </c>
      <c r="D149" s="54" t="s">
        <v>140</v>
      </c>
      <c r="E149" s="54">
        <v>25</v>
      </c>
      <c r="F149" s="54" t="s">
        <v>499</v>
      </c>
      <c r="G149" s="54" t="s">
        <v>500</v>
      </c>
      <c r="H149" s="54" t="s">
        <v>501</v>
      </c>
      <c r="I149" s="54">
        <v>8447</v>
      </c>
      <c r="J149" s="55">
        <v>43992</v>
      </c>
      <c r="K149" s="54">
        <f t="shared" si="2"/>
        <v>94</v>
      </c>
      <c r="L149" t="e" cm="1">
        <f t="array" ref="L149">_xlfn.IFS(E149&lt;=19,"Teenager",19&lt;=E149&lt;25,"Young",E149&gt;25,"Adult")</f>
        <v>#N/A</v>
      </c>
      <c r="M149" t="str">
        <f t="shared" si="3"/>
        <v>Red</v>
      </c>
    </row>
    <row r="150" spans="1:13" x14ac:dyDescent="0.2">
      <c r="A150" s="54">
        <v>95</v>
      </c>
      <c r="B150" s="54" t="s">
        <v>502</v>
      </c>
      <c r="C150" s="54" t="s">
        <v>290</v>
      </c>
      <c r="D150" s="54" t="s">
        <v>140</v>
      </c>
      <c r="E150" s="54">
        <v>23</v>
      </c>
      <c r="F150" s="54" t="s">
        <v>438</v>
      </c>
      <c r="G150" s="54" t="s">
        <v>503</v>
      </c>
      <c r="H150" s="54" t="s">
        <v>504</v>
      </c>
      <c r="I150" s="54">
        <v>6693</v>
      </c>
      <c r="J150" s="55">
        <v>43940</v>
      </c>
      <c r="K150" s="54">
        <f t="shared" si="2"/>
        <v>95</v>
      </c>
      <c r="L150" t="e" cm="1">
        <f t="array" ref="L150">_xlfn.IFS(E150&lt;=19,"Teenager",19&lt;=E150&lt;25,"Young",E150&gt;25,"Adult")</f>
        <v>#N/A</v>
      </c>
      <c r="M150" t="str">
        <f t="shared" si="3"/>
        <v>Red</v>
      </c>
    </row>
    <row r="151" spans="1:13" x14ac:dyDescent="0.2">
      <c r="A151" s="54">
        <v>96</v>
      </c>
      <c r="B151" s="54" t="s">
        <v>505</v>
      </c>
      <c r="C151" s="54" t="s">
        <v>506</v>
      </c>
      <c r="D151" s="54" t="s">
        <v>146</v>
      </c>
      <c r="E151" s="54">
        <v>22</v>
      </c>
      <c r="F151" s="54" t="s">
        <v>507</v>
      </c>
      <c r="G151" s="54" t="s">
        <v>508</v>
      </c>
      <c r="H151" s="54" t="s">
        <v>149</v>
      </c>
      <c r="I151" s="56">
        <v>1768</v>
      </c>
      <c r="J151" s="55">
        <v>44064</v>
      </c>
      <c r="K151" s="54">
        <f t="shared" si="2"/>
        <v>96</v>
      </c>
      <c r="L151" t="e" cm="1">
        <f t="array" ref="L151">_xlfn.IFS(E151&lt;=19,"Teenager",19&lt;=E151&lt;25,"Young",E151&gt;25,"Adult")</f>
        <v>#N/A</v>
      </c>
      <c r="M151" t="str">
        <f t="shared" si="3"/>
        <v>Red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Ref_functions</vt:lpstr>
      <vt:lpstr>Lookup functions</vt:lpstr>
      <vt:lpstr>Date functions</vt:lpstr>
      <vt:lpstr>Logical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Rout</dc:creator>
  <cp:lastModifiedBy>Parag Afzulpurkar</cp:lastModifiedBy>
  <dcterms:created xsi:type="dcterms:W3CDTF">2023-02-15T05:12:31Z</dcterms:created>
  <dcterms:modified xsi:type="dcterms:W3CDTF">2025-07-21T13:32:56Z</dcterms:modified>
</cp:coreProperties>
</file>